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gend" sheetId="1" state="visible" r:id="rId1"/>
    <sheet name="VA_CP" sheetId="546" state="visible" r:id="rId2"/>
    <sheet name="GO_CP" sheetId="547" state="visible" r:id="rId3"/>
    <sheet name="II_CP" sheetId="548" state="visible" r:id="rId4"/>
    <sheet name="VA_PYP" sheetId="549" state="visible" r:id="rId5"/>
    <sheet name="GO_PYP" sheetId="550" state="visible" r:id="rId6"/>
    <sheet name="II_PYP" sheetId="551" state="visible" r:id="rId7"/>
    <sheet name="COMP" sheetId="552" state="visible" r:id="rId8"/>
    <sheet name="EMP" sheetId="553" state="visible" r:id="rId9"/>
    <sheet name="EMPE" sheetId="554" state="visible" r:id="rId10"/>
    <sheet name="H_EMP" sheetId="555" state="visible" r:id="rId11"/>
    <sheet name="H_EMPE" sheetId="556" state="visible" r:id="rId12"/>
    <sheet name="VA_PI" sheetId="557" state="visible" r:id="rId13"/>
    <sheet name="GO_PI" sheetId="558" state="visible" r:id="rId14"/>
    <sheet name="II_PI" sheetId="559" state="visible" r:id="rId15"/>
    <sheet name="VA_Q" sheetId="560" state="visible" r:id="rId16"/>
    <sheet name="GO_Q" sheetId="561" state="visible" r:id="rId17"/>
    <sheet name="II_Q" sheetId="562" state="visible" r:id="rId18"/>
  </sheets>
</workbook>
</file>

<file path=xl/sharedStrings.xml><?xml version="1.0" encoding="utf-8"?>
<sst xmlns="http://schemas.openxmlformats.org/spreadsheetml/2006/main" count="277" uniqueCount="277">
  <si>
    <t xml:space="preserve">Variable</t>
  </si>
  <si>
    <t xml:space="preserve">Description</t>
  </si>
  <si>
    <t xml:space="preserve">Values</t>
  </si>
  <si>
    <t xml:space="preserve"/>
  </si>
  <si>
    <t xml:space="preserve">VA_CP</t>
  </si>
  <si>
    <t xml:space="preserve">GVA, current prices, millions of national currency</t>
  </si>
  <si>
    <t xml:space="preserve">GO_CP</t>
  </si>
  <si>
    <t xml:space="preserve">Gross output, current prices, millions of national currency</t>
  </si>
  <si>
    <t xml:space="preserve">II_CP</t>
  </si>
  <si>
    <t xml:space="preserve">Intermediate inputs, current prices, millions of national currency</t>
  </si>
  <si>
    <t xml:space="preserve">VA_PYP</t>
  </si>
  <si>
    <t xml:space="preserve">GVA, prev.year prices, millions of national currency</t>
  </si>
  <si>
    <t xml:space="preserve">GO_PYP</t>
  </si>
  <si>
    <t xml:space="preserve">Gross output, prev.year prices, millions of national currency</t>
  </si>
  <si>
    <t xml:space="preserve">II_PYP</t>
  </si>
  <si>
    <t xml:space="preserve">Intermediate inputs, prev.year prices, millions of national currency</t>
  </si>
  <si>
    <t xml:space="preserve">COMP</t>
  </si>
  <si>
    <t xml:space="preserve">Compensation of employees, current prices, millions of national currency</t>
  </si>
  <si>
    <t xml:space="preserve">EMP</t>
  </si>
  <si>
    <t xml:space="preserve">Number of persons employed, th.</t>
  </si>
  <si>
    <t xml:space="preserve">EMPE</t>
  </si>
  <si>
    <t xml:space="preserve">Number of employees, th.</t>
  </si>
  <si>
    <t xml:space="preserve">H_EMP</t>
  </si>
  <si>
    <t xml:space="preserve">Total hours worked by persons engaged, th.</t>
  </si>
  <si>
    <t xml:space="preserve">H_EMPE</t>
  </si>
  <si>
    <t xml:space="preserve">Total hours worked by employees, th.</t>
  </si>
  <si>
    <t xml:space="preserve">Prices</t>
  </si>
  <si>
    <t xml:space="preserve">VA_PI</t>
  </si>
  <si>
    <t xml:space="preserve">GVA, price indexes (2020)</t>
  </si>
  <si>
    <t xml:space="preserve">GO_PI</t>
  </si>
  <si>
    <t xml:space="preserve">Gross output, price indexes (2020)</t>
  </si>
  <si>
    <t xml:space="preserve">II_PI</t>
  </si>
  <si>
    <t xml:space="preserve">Intermediate inputs, price indexes (2020)</t>
  </si>
  <si>
    <t xml:space="preserve">Volumes</t>
  </si>
  <si>
    <t xml:space="preserve">VA_Q</t>
  </si>
  <si>
    <t xml:space="preserve">GVA, chained linked volumes (2020), millions of national currency</t>
  </si>
  <si>
    <t xml:space="preserve">GO_Q</t>
  </si>
  <si>
    <t xml:space="preserve">Gross output, chained linked volumes (2020), millions of national currency</t>
  </si>
  <si>
    <t xml:space="preserve">II_Q</t>
  </si>
  <si>
    <t xml:space="preserve">Intermediate inputs, chained linked volumes (2020), millions of national currency</t>
  </si>
  <si>
    <t xml:space="preserve">National Accounts</t>
  </si>
  <si>
    <t xml:space="preserve">Source: Euklems &amp; INTANProd database, 2024 release</t>
  </si>
  <si>
    <t xml:space="preserve">When using this database please quote: Bontadini F., Corrado C., Haskel J., Iommi M., Jona-Lasinio C. (2023), EUKLEMS &amp; INTANProd: industry productivity accounts with intangibles - Sources of growth and productivity trends: methods and main measurement challenges</t>
  </si>
  <si>
    <t xml:space="preserve">Notes</t>
  </si>
  <si>
    <t xml:space="preserve">Numbers displayed are in accordance with the industry classification (NACE Rev. 2/ISIC Rev. 4) and the European System of National Accounts (ESA 2010).</t>
  </si>
  <si>
    <t xml:space="preserve">Extracted from Eurostat:		08/04/2024</t>
  </si>
  <si>
    <t xml:space="preserve">For more information and updates, see: https://euklems-intanprod-llee.luiss.it/</t>
  </si>
  <si>
    <t xml:space="preserve">Acknowledgements and disclaimer</t>
  </si>
  <si>
    <t xml:space="preserve">This update of the EUKLEMS &amp; INTANProd database 2024 has been funded by the WIPO:</t>
  </si>
  <si>
    <t xml:space="preserve">Procurement procedure ECFIN/2020/OP/0001 – Provision of Industry level growth and productivity data with special focus on intangible assets – 2020/S 114-275561</t>
  </si>
  <si>
    <t xml:space="preserve">Any errors or omissions are entirely the responsibility of the Luiss Lab of European Economics - LLEE</t>
  </si>
  <si>
    <t xml:space="preserve">For comments and suggestions please send an email to euklems-intanprod@luiss.it</t>
  </si>
  <si>
    <t xml:space="preserve">var</t>
  </si>
  <si>
    <t xml:space="preserve">nace_r2_code</t>
  </si>
  <si>
    <t xml:space="preserve">geo_code</t>
  </si>
  <si>
    <t xml:space="preserve">nace_r2_name</t>
  </si>
  <si>
    <t xml:space="preserve">geo_name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</si>
  <si>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</si>
  <si>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</si>
  <si>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</si>
  <si>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</si>
  <si>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</si>
  <si>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</si>
  <si>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</si>
  <si>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</si>
  <si>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</si>
  <si>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</si>
  <si>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</si>
  <si>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</si>
  <si>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</si>
  <si>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</si>
  <si>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</si>
  <si>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</si>
  <si>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</si>
  <si>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</si>
  <si>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</si>
  <si>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</si>
  <si>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</si>
  <si>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</si>
  <si>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</si>
  <si>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</si>
  <si>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</si>
  <si>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</si>
  <si>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</si>
  <si>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A</t>
  </si>
  <si>
    <t xml:space="preserve">AT</t>
  </si>
  <si>
    <t xml:space="preserve">Agriculture, forestry and fishing</t>
  </si>
  <si>
    <t xml:space="preserve">Austria</t>
  </si>
  <si>
    <t xml:space="preserve">BE</t>
  </si>
  <si>
    <t xml:space="preserve">Belgium</t>
  </si>
  <si>
    <t xml:space="preserve">BG</t>
  </si>
  <si>
    <t xml:space="preserve">Bulgaria</t>
  </si>
  <si>
    <t xml:space="preserve">CY</t>
  </si>
  <si>
    <t xml:space="preserve">Cyprus</t>
  </si>
  <si>
    <t xml:space="preserve">CZ</t>
  </si>
  <si>
    <t xml:space="preserve">Czechia</t>
  </si>
  <si>
    <t xml:space="preserve">DE</t>
  </si>
  <si>
    <t xml:space="preserve">Germany</t>
  </si>
  <si>
    <t xml:space="preserve">DK</t>
  </si>
  <si>
    <t xml:space="preserve">Denmark</t>
  </si>
  <si>
    <t xml:space="preserve">EA19</t>
  </si>
  <si>
    <t xml:space="preserve">Euro area - 19 countries  (from 2020)</t>
  </si>
  <si>
    <t xml:space="preserve">EE</t>
  </si>
  <si>
    <t xml:space="preserve">Estonia</t>
  </si>
  <si>
    <t xml:space="preserve">EL</t>
  </si>
  <si>
    <t xml:space="preserve">Greece</t>
  </si>
  <si>
    <t xml:space="preserve">ES</t>
  </si>
  <si>
    <t xml:space="preserve">Spain</t>
  </si>
  <si>
    <t xml:space="preserve">EU11</t>
  </si>
  <si>
    <t xml:space="preserve">EU12 without UK</t>
  </si>
  <si>
    <t xml:space="preserve">EU12</t>
  </si>
  <si>
    <t xml:space="preserve">AT, BE, CZ, DE, DK, ES, FI, FR, IT, NL, SE and UK</t>
  </si>
  <si>
    <t xml:space="preserve">EU15</t>
  </si>
  <si>
    <t xml:space="preserve">European Union - 15 countries (1995-2004)</t>
  </si>
  <si>
    <t xml:space="preserve">EU19</t>
  </si>
  <si>
    <t xml:space="preserve">EU20 without the UK</t>
  </si>
  <si>
    <t xml:space="preserve">EU20</t>
  </si>
  <si>
    <t xml:space="preserve">AT, BE, CZ, DE, DK, EE, ES, FI, FR, HU, IT, LT, LU, LV, NL, RO, SE, SI, SK and UK</t>
  </si>
  <si>
    <t xml:space="preserve">EU27</t>
  </si>
  <si>
    <t xml:space="preserve">European Union - 27 countries (from 2020)</t>
  </si>
  <si>
    <t xml:space="preserve">EU27_2020</t>
  </si>
  <si>
    <t xml:space="preserve">EU28</t>
  </si>
  <si>
    <t xml:space="preserve">European Union - 28 countries (2013-2020)</t>
  </si>
  <si>
    <t xml:space="preserve">FI</t>
  </si>
  <si>
    <t xml:space="preserve">Finland</t>
  </si>
  <si>
    <t xml:space="preserve">FR</t>
  </si>
  <si>
    <t xml:space="preserve">France</t>
  </si>
  <si>
    <t xml:space="preserve">HR</t>
  </si>
  <si>
    <t xml:space="preserve">Croatia</t>
  </si>
  <si>
    <t xml:space="preserve">HU</t>
  </si>
  <si>
    <t xml:space="preserve">Hungary</t>
  </si>
  <si>
    <t xml:space="preserve">IE</t>
  </si>
  <si>
    <t xml:space="preserve">Ireland</t>
  </si>
  <si>
    <t xml:space="preserve">IT</t>
  </si>
  <si>
    <t xml:space="preserve">Italy</t>
  </si>
  <si>
    <t xml:space="preserve">JP</t>
  </si>
  <si>
    <t xml:space="preserve">Japan</t>
  </si>
  <si>
    <t xml:space="preserve">LT</t>
  </si>
  <si>
    <t xml:space="preserve">Lithuania</t>
  </si>
  <si>
    <t xml:space="preserve">LU</t>
  </si>
  <si>
    <t xml:space="preserve">Luxembourg</t>
  </si>
  <si>
    <t xml:space="preserve">LV</t>
  </si>
  <si>
    <t xml:space="preserve">Latvia</t>
  </si>
  <si>
    <t xml:space="preserve">MT</t>
  </si>
  <si>
    <t xml:space="preserve">Malta</t>
  </si>
  <si>
    <t xml:space="preserve">NL</t>
  </si>
  <si>
    <t xml:space="preserve">Netherlands</t>
  </si>
  <si>
    <t xml:space="preserve">PL</t>
  </si>
  <si>
    <t xml:space="preserve">Poland</t>
  </si>
  <si>
    <t xml:space="preserve">PT</t>
  </si>
  <si>
    <t xml:space="preserve">Portugal</t>
  </si>
  <si>
    <t xml:space="preserve">RO</t>
  </si>
  <si>
    <t xml:space="preserve">Romania</t>
  </si>
  <si>
    <t xml:space="preserve">SE</t>
  </si>
  <si>
    <t xml:space="preserve">Sweden</t>
  </si>
  <si>
    <t xml:space="preserve">SI</t>
  </si>
  <si>
    <t xml:space="preserve">Slovenia</t>
  </si>
  <si>
    <t xml:space="preserve">SK</t>
  </si>
  <si>
    <t xml:space="preserve">Slovakia</t>
  </si>
  <si>
    <t xml:space="preserve">UK</t>
  </si>
  <si>
    <t xml:space="preserve">United Kingdom</t>
  </si>
  <si>
    <t xml:space="preserve">US</t>
  </si>
  <si>
    <t xml:space="preserve">United States</t>
  </si>
  <si>
    <t xml:space="preserve">B</t>
  </si>
  <si>
    <t xml:space="preserve">Mining and quarrying</t>
  </si>
  <si>
    <t xml:space="preserve">C</t>
  </si>
  <si>
    <t xml:space="preserve">Manufacturing</t>
  </si>
  <si>
    <t xml:space="preserve">C10-C12</t>
  </si>
  <si>
    <t xml:space="preserve">Manufacture of food products; beverages and tobacco products</t>
  </si>
  <si>
    <t xml:space="preserve">C13-C15</t>
  </si>
  <si>
    <t xml:space="preserve">Manufacture of textiles, wearing apparel, leather and related products</t>
  </si>
  <si>
    <t xml:space="preserve">C16-C18</t>
  </si>
  <si>
    <t xml:space="preserve">Manufacture of wood, paper, printing and reproduction</t>
  </si>
  <si>
    <t xml:space="preserve">C19</t>
  </si>
  <si>
    <t xml:space="preserve">Manufacture of coke and refined petroleum products</t>
  </si>
  <si>
    <t xml:space="preserve">C20</t>
  </si>
  <si>
    <t xml:space="preserve">Manufacture of chemicals and chemical products</t>
  </si>
  <si>
    <t xml:space="preserve">C20-C21</t>
  </si>
  <si>
    <t xml:space="preserve">Chemicals; basic pharmaceutical products</t>
  </si>
  <si>
    <t xml:space="preserve">C21</t>
  </si>
  <si>
    <t xml:space="preserve">Manufacture of basic pharmaceutical products and pharmaceutical preparations</t>
  </si>
  <si>
    <t xml:space="preserve">C22-C23</t>
  </si>
  <si>
    <t xml:space="preserve">Manufacture of rubber and plastic products and other non-metallic mineral products</t>
  </si>
  <si>
    <t xml:space="preserve">C24-C25</t>
  </si>
  <si>
    <t xml:space="preserve">Manufacture of basic metals and fabricated metal products, except machinery and equipment</t>
  </si>
  <si>
    <t xml:space="preserve">C26</t>
  </si>
  <si>
    <t xml:space="preserve">Manufacture of computer, electronic and optical products</t>
  </si>
  <si>
    <t xml:space="preserve">C26-C27</t>
  </si>
  <si>
    <t xml:space="preserve">Computer, electronic, optical products; electrical equipment</t>
  </si>
  <si>
    <t xml:space="preserve">C27</t>
  </si>
  <si>
    <t xml:space="preserve">Manufacture of electrical equipment</t>
  </si>
  <si>
    <t xml:space="preserve">C28</t>
  </si>
  <si>
    <t xml:space="preserve">Manufacture of machinery and equipment n.e.c.</t>
  </si>
  <si>
    <t xml:space="preserve">C29-C30</t>
  </si>
  <si>
    <t xml:space="preserve">Manufacture of motor vehicles, trailers, semi-trailers and of other transport equipment</t>
  </si>
  <si>
    <t xml:space="preserve">C31-C33</t>
  </si>
  <si>
    <t xml:space="preserve">Manufacture of furniture; jewellery, musical instruments, toys; repair and installation of machinery and equipment</t>
  </si>
  <si>
    <t xml:space="preserve">D</t>
  </si>
  <si>
    <t xml:space="preserve">Electricity, gas, steam and air conditioning supply</t>
  </si>
  <si>
    <t xml:space="preserve">D-E</t>
  </si>
  <si>
    <t xml:space="preserve">Electricity, gas, steam; water supply, sewerage, waste management</t>
  </si>
  <si>
    <t xml:space="preserve">E</t>
  </si>
  <si>
    <t xml:space="preserve">Water supply; sewerage, waste management and remediation activities</t>
  </si>
  <si>
    <t xml:space="preserve">F</t>
  </si>
  <si>
    <t xml:space="preserve">Construction</t>
  </si>
  <si>
    <t xml:space="preserve">G</t>
  </si>
  <si>
    <t xml:space="preserve">Wholesale and retail trade; repair of motor vehicles and motorcycles</t>
  </si>
  <si>
    <t xml:space="preserve">G45</t>
  </si>
  <si>
    <t xml:space="preserve">Wholesale and retail trade and repair of motor vehicles and motorcycles</t>
  </si>
  <si>
    <t xml:space="preserve">G46</t>
  </si>
  <si>
    <t xml:space="preserve">Wholesale trade, except of motor vehicles and motorcycles</t>
  </si>
  <si>
    <t xml:space="preserve">G47</t>
  </si>
  <si>
    <t xml:space="preserve">Retail trade, except of motor vehicles and motorcycles</t>
  </si>
  <si>
    <t xml:space="preserve">H</t>
  </si>
  <si>
    <t xml:space="preserve">Transportation and storage</t>
  </si>
  <si>
    <t xml:space="preserve">H49</t>
  </si>
  <si>
    <t xml:space="preserve">Land transport and transport via pipelines</t>
  </si>
  <si>
    <t xml:space="preserve">H50</t>
  </si>
  <si>
    <t xml:space="preserve">Water transport</t>
  </si>
  <si>
    <t xml:space="preserve">H51</t>
  </si>
  <si>
    <t xml:space="preserve">Air transport</t>
  </si>
  <si>
    <t xml:space="preserve">H52</t>
  </si>
  <si>
    <t xml:space="preserve">Warehousing and support activities for transportation</t>
  </si>
  <si>
    <t xml:space="preserve">H53</t>
  </si>
  <si>
    <t xml:space="preserve">Postal and courier activities</t>
  </si>
  <si>
    <t xml:space="preserve">I</t>
  </si>
  <si>
    <t xml:space="preserve">Accommodation and food service activities</t>
  </si>
  <si>
    <t xml:space="preserve">J</t>
  </si>
  <si>
    <t xml:space="preserve">Information and communication</t>
  </si>
  <si>
    <t xml:space="preserve">J58-J60</t>
  </si>
  <si>
    <t xml:space="preserve">Publishing, motion picture, video, television programme production; sound recording, programming and broadcasting activities</t>
  </si>
  <si>
    <t xml:space="preserve">J61</t>
  </si>
  <si>
    <t xml:space="preserve">Telecommunications</t>
  </si>
  <si>
    <t xml:space="preserve">J62-J63</t>
  </si>
  <si>
    <t xml:space="preserve">Computer programming, consultancy, and information service activities</t>
  </si>
  <si>
    <t xml:space="preserve">K</t>
  </si>
  <si>
    <t xml:space="preserve">Financial and insurance activities</t>
  </si>
  <si>
    <t xml:space="preserve">L</t>
  </si>
  <si>
    <t xml:space="preserve">Real estate activities</t>
  </si>
  <si>
    <t xml:space="preserve">L68A</t>
  </si>
  <si>
    <t xml:space="preserve">Imputed rents of owner-occupied dwellings</t>
  </si>
  <si>
    <t xml:space="preserve">M</t>
  </si>
  <si>
    <t xml:space="preserve">Professional, scientific and technical activities</t>
  </si>
  <si>
    <t xml:space="preserve">M-N</t>
  </si>
  <si>
    <t xml:space="preserve">Professional, scientific and technical activities; administrative and support service activities</t>
  </si>
  <si>
    <t xml:space="preserve">MARKT</t>
  </si>
  <si>
    <t xml:space="preserve">Market economy (all industries excluding L, O, P, Q, T and U)</t>
  </si>
  <si>
    <t xml:space="preserve">MARKTxAG</t>
  </si>
  <si>
    <t xml:space="preserve">Non-agricultural market economy (Market economy less industry A)</t>
  </si>
  <si>
    <t xml:space="preserve">N</t>
  </si>
  <si>
    <t xml:space="preserve">Administrative and support service activities</t>
  </si>
  <si>
    <t xml:space="preserve">O</t>
  </si>
  <si>
    <t xml:space="preserve">Public administration and defence; compulsory social security</t>
  </si>
  <si>
    <t xml:space="preserve">O-Q</t>
  </si>
  <si>
    <t xml:space="preserve">Public administration, defence, education, human health and social work activities</t>
  </si>
  <si>
    <t xml:space="preserve">P</t>
  </si>
  <si>
    <t xml:space="preserve">Education</t>
  </si>
  <si>
    <t xml:space="preserve">Q</t>
  </si>
  <si>
    <t xml:space="preserve">Human health and social work activities</t>
  </si>
  <si>
    <t xml:space="preserve">Q86</t>
  </si>
  <si>
    <t xml:space="preserve">Human health activities</t>
  </si>
  <si>
    <t xml:space="preserve">Q87-Q88</t>
  </si>
  <si>
    <t xml:space="preserve">Residential care activities and social work activities without accommodation</t>
  </si>
  <si>
    <t xml:space="preserve">R</t>
  </si>
  <si>
    <t xml:space="preserve">Arts, entertainment and recreation</t>
  </si>
  <si>
    <t xml:space="preserve">R-S</t>
  </si>
  <si>
    <t xml:space="preserve">Arts, entertainment, recreation; other services and service activities, etc.</t>
  </si>
  <si>
    <t xml:space="preserve">S</t>
  </si>
  <si>
    <t xml:space="preserve">Other service activities</t>
  </si>
  <si>
    <t xml:space="preserve">T</t>
  </si>
  <si>
    <t xml:space="preserve">Activities of households as employers; undifferentiated goods- and services-producing activities of households for own use</t>
  </si>
  <si>
    <t xml:space="preserve">TOT</t>
  </si>
  <si>
    <t xml:space="preserve">Total - all NACE activities</t>
  </si>
  <si>
    <t xml:space="preserve">TOT_IND</t>
  </si>
  <si>
    <t xml:space="preserve">Total industries (A-S)</t>
  </si>
  <si>
    <t xml:space="preserve">U</t>
  </si>
  <si>
    <t xml:space="preserve">Activities of extraterritorial organisations and bodies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</si>
</sst>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4"/>
      <color rgb="FFFFFFFF"/>
      <name val="Calibri"/>
      <b/>
    </font>
    <font>
      <sz val="14"/>
      <color rgb="FF000000"/>
      <name val="Calibri"/>
      <b/>
    </font>
    <font>
      <sz val="8"/>
      <color rgb="FF000000"/>
      <name val="Calibri"/>
    </font>
    <font>
      <sz val="11"/>
      <color theme="10"/>
      <name val="Calibri"/>
      <u val="single"/>
    </font>
  </fonts>
  <fills count="4">
    <fill>
      <patternFill patternType="none"/>
    </fill>
    <fill>
      <patternFill patternType="gray125"/>
    </fill>
    <fill>
      <patternFill patternType="solid">
        <fgColor rgb="FF093170"/>
      </patternFill>
    </fill>
    <fill>
      <patternFill patternType="solid">
        <fgColor rgb="FFD8DE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129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 t="s">
        <v>40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t="s">
        <v>41</v>
      </c>
    </row>
    <row r="4">
      <c r="A4" s="2" t="s">
        <v>42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t="s">
        <v>3</v>
      </c>
    </row>
    <row r="6">
      <c r="A6" s="1" t="s">
        <v>0</v>
      </c>
      <c r="B6" s="1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2" t="s">
        <v>2</v>
      </c>
      <c r="B7" s="2" t="s">
        <v>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4" t="str">
        <f>=HYPERLINK("#'VA_CP'!A1", "VA_CP")</f>
      </c>
      <c r="B8" t="s">
        <v>5</v>
      </c>
    </row>
    <row r="9">
      <c r="A9" s="4" t="str">
        <f>=HYPERLINK("#'GO_CP'!A1", "GO_CP")</f>
      </c>
      <c r="B9" t="s">
        <v>7</v>
      </c>
    </row>
    <row r="10">
      <c r="A10" s="4" t="str">
        <f>=HYPERLINK("#'II_CP'!A1", "II_CP")</f>
      </c>
      <c r="B10" t="s">
        <v>9</v>
      </c>
    </row>
    <row r="11">
      <c r="A11" s="4" t="str">
        <f>=HYPERLINK("#'VA_PYP'!A1", "VA_PYP")</f>
      </c>
      <c r="B11" t="s">
        <v>11</v>
      </c>
    </row>
    <row r="12">
      <c r="A12" s="4" t="str">
        <f>=HYPERLINK("#'GO_PYP'!A1", "GO_PYP")</f>
      </c>
      <c r="B12" t="s">
        <v>13</v>
      </c>
    </row>
    <row r="13">
      <c r="A13" s="4" t="str">
        <f>=HYPERLINK("#'II_PYP'!A1", "II_PYP")</f>
      </c>
      <c r="B13" t="s">
        <v>15</v>
      </c>
    </row>
    <row r="14">
      <c r="A14" s="4" t="str">
        <f>=HYPERLINK("#'COMP'!A1", "COMP")</f>
      </c>
      <c r="B14" t="s">
        <v>17</v>
      </c>
    </row>
    <row r="15">
      <c r="A15" s="4" t="str">
        <f>=HYPERLINK("#'EMP'!A1", "EMP")</f>
      </c>
      <c r="B15" t="s">
        <v>19</v>
      </c>
    </row>
    <row r="16">
      <c r="A16" s="4" t="str">
        <f>=HYPERLINK("#'EMPE'!A1", "EMPE")</f>
      </c>
      <c r="B16" t="s">
        <v>21</v>
      </c>
    </row>
    <row r="17">
      <c r="A17" s="4" t="str">
        <f>=HYPERLINK("#'H_EMP'!A1", "H_EMP")</f>
      </c>
      <c r="B17" t="s">
        <v>23</v>
      </c>
    </row>
    <row r="18">
      <c r="A18" s="4" t="str">
        <f>=HYPERLINK("#'H_EMPE'!A1", "H_EMPE")</f>
      </c>
      <c r="B18" t="s">
        <v>25</v>
      </c>
    </row>
    <row r="19">
      <c r="A19" s="2" t="s">
        <v>26</v>
      </c>
      <c r="B19" s="2" t="s">
        <v>3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4" t="str">
        <f>=HYPERLINK("#'VA_PI'!A1", "VA_PI")</f>
      </c>
      <c r="B20" t="s">
        <v>28</v>
      </c>
    </row>
    <row r="21">
      <c r="A21" s="4" t="str">
        <f>=HYPERLINK("#'GO_PI'!A1", "GO_PI")</f>
      </c>
      <c r="B21" t="s">
        <v>30</v>
      </c>
    </row>
    <row r="22">
      <c r="A22" s="4" t="str">
        <f>=HYPERLINK("#'II_PI'!A1", "II_PI")</f>
      </c>
      <c r="B22" t="s">
        <v>32</v>
      </c>
    </row>
    <row r="23">
      <c r="A23" s="2" t="s">
        <v>33</v>
      </c>
      <c r="B23" s="2" t="s">
        <v>3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4" t="str">
        <f>=HYPERLINK("#'VA_Q'!A1", "VA_Q")</f>
      </c>
      <c r="B24" t="s">
        <v>35</v>
      </c>
    </row>
    <row r="25">
      <c r="A25" s="4" t="str">
        <f>=HYPERLINK("#'GO_Q'!A1", "GO_Q")</f>
      </c>
      <c r="B25" t="s">
        <v>37</v>
      </c>
    </row>
    <row r="26">
      <c r="A26" s="4" t="str">
        <f>=HYPERLINK("#'II_Q'!A1", "II_Q")</f>
      </c>
      <c r="B26" t="s">
        <v>39</v>
      </c>
    </row>
    <row r="27">
      <c r="A27" t="s">
        <v>3</v>
      </c>
    </row>
    <row r="28">
      <c r="A28" t="s">
        <v>3</v>
      </c>
    </row>
    <row r="29">
      <c r="A29" s="1" t="s">
        <v>43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3" t="s">
        <v>44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 t="s">
        <v>45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 t="s">
        <v>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1" t="s">
        <v>46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t="s">
        <v>3</v>
      </c>
    </row>
    <row r="35">
      <c r="A35" s="1" t="s">
        <v>47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3" t="s">
        <v>48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 t="s">
        <v>49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 t="s">
        <v>50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 t="s">
        <v>51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>
      <c r="A2" t="s">
        <v>4</v>
      </c>
      <c r="B2" t="s">
        <v>84</v>
      </c>
      <c r="C2" t="s">
        <v>129</v>
      </c>
      <c r="D2" t="s">
        <v>86</v>
      </c>
      <c r="E2" t="s">
        <v>130</v>
      </c>
      <c r="F2" t="n">
        <v>426297</v>
      </c>
      <c r="G2" t="n">
        <v>528467</v>
      </c>
      <c r="H2" t="n">
        <v>575288</v>
      </c>
      <c r="I2" t="n">
        <v>645736</v>
      </c>
      <c r="J2" t="n">
        <v>634857</v>
      </c>
      <c r="K2" t="n">
        <v>675786</v>
      </c>
      <c r="L2" t="n">
        <v>775192</v>
      </c>
      <c r="M2" t="n">
        <v>762136</v>
      </c>
      <c r="N2" t="n">
        <v>746442</v>
      </c>
      <c r="O2" t="n">
        <v>918799</v>
      </c>
      <c r="P2" t="n">
        <v>840855</v>
      </c>
      <c r="Q2" t="n">
        <v>860692</v>
      </c>
      <c r="R2" t="n">
        <v>897437</v>
      </c>
      <c r="S2" t="n">
        <v>947211</v>
      </c>
      <c r="T2" t="n">
        <v>792784</v>
      </c>
      <c r="U2" t="n">
        <v>824777</v>
      </c>
      <c r="V2" t="n">
        <v>1131996</v>
      </c>
      <c r="W2" t="n">
        <v>1124525</v>
      </c>
      <c r="X2" t="n">
        <v>1190229</v>
      </c>
      <c r="Y2" t="n">
        <v>1295114</v>
      </c>
      <c r="Z2" t="n">
        <v>1315901</v>
      </c>
      <c r="AA2" t="n">
        <v>1404444</v>
      </c>
      <c r="AB2" t="n">
        <v>1474683</v>
      </c>
      <c r="AC2" t="n">
        <v>1512032</v>
      </c>
      <c r="AD2" t="n">
        <v>1594046</v>
      </c>
      <c r="AE2" t="n">
        <v>1641184</v>
      </c>
      <c r="AF2" t="n">
        <v>1921042</v>
      </c>
    </row>
    <row r="3">
      <c r="A3" t="s">
        <v>4</v>
      </c>
      <c r="B3" t="s">
        <v>163</v>
      </c>
      <c r="C3" t="s">
        <v>129</v>
      </c>
      <c r="D3" t="s">
        <v>164</v>
      </c>
      <c r="E3" t="s">
        <v>130</v>
      </c>
      <c r="F3" t="n">
        <v>22186</v>
      </c>
      <c r="G3" t="n">
        <v>25522</v>
      </c>
      <c r="H3" t="n">
        <v>34482</v>
      </c>
      <c r="I3" t="n">
        <v>27093</v>
      </c>
      <c r="J3" t="n">
        <v>26904</v>
      </c>
      <c r="K3" t="n">
        <v>28842</v>
      </c>
      <c r="L3" t="n">
        <v>30000</v>
      </c>
      <c r="M3" t="n">
        <v>36120</v>
      </c>
      <c r="N3" t="n">
        <v>38119</v>
      </c>
      <c r="O3" t="n">
        <v>40349</v>
      </c>
      <c r="P3" t="n">
        <v>46579</v>
      </c>
      <c r="Q3" t="n">
        <v>50870</v>
      </c>
      <c r="R3" t="n">
        <v>42658</v>
      </c>
      <c r="S3" t="n">
        <v>56487</v>
      </c>
      <c r="T3" t="n">
        <v>57362</v>
      </c>
      <c r="U3" t="n">
        <v>49899</v>
      </c>
      <c r="V3" t="n">
        <v>58189</v>
      </c>
      <c r="W3" t="n">
        <v>61551</v>
      </c>
      <c r="X3" t="n">
        <v>57349</v>
      </c>
      <c r="Y3" t="n">
        <v>55600</v>
      </c>
      <c r="Z3" t="n">
        <v>47327</v>
      </c>
      <c r="AA3" t="n">
        <v>44536</v>
      </c>
      <c r="AB3" t="n">
        <v>65034</v>
      </c>
      <c r="AC3" t="n">
        <v>103209</v>
      </c>
      <c r="AD3" t="n">
        <v>147037</v>
      </c>
      <c r="AE3" t="n">
        <v>105040</v>
      </c>
      <c r="AF3" t="n">
        <v>158936</v>
      </c>
    </row>
    <row r="4">
      <c r="A4" t="s">
        <v>4</v>
      </c>
      <c r="B4" t="s">
        <v>165</v>
      </c>
      <c r="C4" t="s">
        <v>129</v>
      </c>
      <c r="D4" t="s">
        <v>166</v>
      </c>
      <c r="E4" t="s">
        <v>130</v>
      </c>
      <c r="F4" t="n">
        <v>1061399</v>
      </c>
      <c r="G4" t="n">
        <v>1286769</v>
      </c>
      <c r="H4" t="n">
        <v>1743292</v>
      </c>
      <c r="I4" t="n">
        <v>2086286</v>
      </c>
      <c r="J4" t="n">
        <v>2250276</v>
      </c>
      <c r="K4" t="n">
        <v>2545680</v>
      </c>
      <c r="L4" t="n">
        <v>2952495</v>
      </c>
      <c r="M4" t="n">
        <v>3235218</v>
      </c>
      <c r="N4" t="n">
        <v>3554066</v>
      </c>
      <c r="O4" t="n">
        <v>4001392</v>
      </c>
      <c r="P4" t="n">
        <v>4296531</v>
      </c>
      <c r="Q4" t="n">
        <v>4793427</v>
      </c>
      <c r="R4" t="n">
        <v>4904817</v>
      </c>
      <c r="S4" t="n">
        <v>4976498</v>
      </c>
      <c r="T4" t="n">
        <v>4542492</v>
      </c>
      <c r="U4" t="n">
        <v>4974091</v>
      </c>
      <c r="V4" t="n">
        <v>5259480</v>
      </c>
      <c r="W4" t="n">
        <v>5348234</v>
      </c>
      <c r="X4" t="n">
        <v>5676427</v>
      </c>
      <c r="Y4" t="n">
        <v>6376095</v>
      </c>
      <c r="Z4" t="n">
        <v>7069606</v>
      </c>
      <c r="AA4" t="n">
        <v>7101718</v>
      </c>
      <c r="AB4" t="n">
        <v>7514497</v>
      </c>
      <c r="AC4" t="n">
        <v>8015171</v>
      </c>
      <c r="AD4" t="n">
        <v>8306248</v>
      </c>
      <c r="AE4" t="n">
        <v>8431049</v>
      </c>
      <c r="AF4" t="n">
        <v>9181744</v>
      </c>
    </row>
    <row r="5">
      <c r="A5" t="s">
        <v>4</v>
      </c>
      <c r="B5" t="s">
        <v>167</v>
      </c>
      <c r="C5" t="s">
        <v>129</v>
      </c>
      <c r="D5" t="s">
        <v>168</v>
      </c>
      <c r="E5" t="s">
        <v>130</v>
      </c>
      <c r="F5" t="n">
        <v>193254</v>
      </c>
      <c r="G5" t="n">
        <v>218536</v>
      </c>
      <c r="H5" t="n">
        <v>244416</v>
      </c>
      <c r="I5" t="n">
        <v>305855</v>
      </c>
      <c r="J5" t="n">
        <v>305577</v>
      </c>
      <c r="K5" t="n">
        <v>370556</v>
      </c>
      <c r="L5" t="n">
        <v>462084</v>
      </c>
      <c r="M5" t="n">
        <v>535360</v>
      </c>
      <c r="N5" t="n">
        <v>513073</v>
      </c>
      <c r="O5" t="n">
        <v>539022</v>
      </c>
      <c r="P5" t="n">
        <v>510386</v>
      </c>
      <c r="Q5" t="n">
        <v>541221</v>
      </c>
      <c r="R5" t="n">
        <v>511038</v>
      </c>
      <c r="S5" t="n">
        <v>489751</v>
      </c>
      <c r="T5" t="n">
        <v>584880</v>
      </c>
      <c r="U5" t="n">
        <v>547439</v>
      </c>
      <c r="V5" t="n">
        <v>522752</v>
      </c>
      <c r="W5" t="n">
        <v>522789</v>
      </c>
      <c r="X5" t="n">
        <v>586124</v>
      </c>
      <c r="Y5" t="n">
        <v>628023</v>
      </c>
      <c r="Z5" t="n">
        <v>653185</v>
      </c>
      <c r="AA5" t="n">
        <v>679542</v>
      </c>
      <c r="AB5" t="n">
        <v>706579</v>
      </c>
      <c r="AC5" t="n">
        <v>786566</v>
      </c>
      <c r="AD5" t="n">
        <v>811972</v>
      </c>
      <c r="AE5" t="n">
        <v>862953</v>
      </c>
      <c r="AF5" t="n">
        <v>911819</v>
      </c>
    </row>
    <row r="6">
      <c r="A6" t="s">
        <v>4</v>
      </c>
      <c r="B6" t="s">
        <v>169</v>
      </c>
      <c r="C6" t="s">
        <v>129</v>
      </c>
      <c r="D6" t="s">
        <v>170</v>
      </c>
      <c r="E6" t="s">
        <v>130</v>
      </c>
      <c r="F6" t="n">
        <v>99380</v>
      </c>
      <c r="G6" t="n">
        <v>120351</v>
      </c>
      <c r="H6" t="n">
        <v>151733</v>
      </c>
      <c r="I6" t="n">
        <v>170707</v>
      </c>
      <c r="J6" t="n">
        <v>180691</v>
      </c>
      <c r="K6" t="n">
        <v>183025</v>
      </c>
      <c r="L6" t="n">
        <v>210239</v>
      </c>
      <c r="M6" t="n">
        <v>197808</v>
      </c>
      <c r="N6" t="n">
        <v>172128</v>
      </c>
      <c r="O6" t="n">
        <v>165517</v>
      </c>
      <c r="P6" t="n">
        <v>143353</v>
      </c>
      <c r="Q6" t="n">
        <v>151597</v>
      </c>
      <c r="R6" t="n">
        <v>138293</v>
      </c>
      <c r="S6" t="n">
        <v>128145</v>
      </c>
      <c r="T6" t="n">
        <v>117657</v>
      </c>
      <c r="U6" t="n">
        <v>115830</v>
      </c>
      <c r="V6" t="n">
        <v>129187</v>
      </c>
      <c r="W6" t="n">
        <v>128448</v>
      </c>
      <c r="X6" t="n">
        <v>133644</v>
      </c>
      <c r="Y6" t="n">
        <v>140570</v>
      </c>
      <c r="Z6" t="n">
        <v>140795</v>
      </c>
      <c r="AA6" t="n">
        <v>147840</v>
      </c>
      <c r="AB6" t="n">
        <v>155334</v>
      </c>
      <c r="AC6" t="n">
        <v>165398</v>
      </c>
      <c r="AD6" t="n">
        <v>172011</v>
      </c>
      <c r="AE6" t="n">
        <v>154541</v>
      </c>
      <c r="AF6" t="n">
        <v>163839</v>
      </c>
    </row>
    <row r="7">
      <c r="A7" t="s">
        <v>4</v>
      </c>
      <c r="B7" t="s">
        <v>171</v>
      </c>
      <c r="C7" t="s">
        <v>129</v>
      </c>
      <c r="D7" t="s">
        <v>172</v>
      </c>
      <c r="E7" t="s">
        <v>130</v>
      </c>
      <c r="F7" t="n">
        <v>74215</v>
      </c>
      <c r="G7" t="n">
        <v>88338</v>
      </c>
      <c r="H7" t="n">
        <v>115015</v>
      </c>
      <c r="I7" t="n">
        <v>121242</v>
      </c>
      <c r="J7" t="n">
        <v>137214</v>
      </c>
      <c r="K7" t="n">
        <v>149729</v>
      </c>
      <c r="L7" t="n">
        <v>189965</v>
      </c>
      <c r="M7" t="n">
        <v>200992</v>
      </c>
      <c r="N7" t="n">
        <v>203283</v>
      </c>
      <c r="O7" t="n">
        <v>210997</v>
      </c>
      <c r="P7" t="n">
        <v>208869</v>
      </c>
      <c r="Q7" t="n">
        <v>212090</v>
      </c>
      <c r="R7" t="n">
        <v>230442</v>
      </c>
      <c r="S7" t="n">
        <v>226228</v>
      </c>
      <c r="T7" t="n">
        <v>203239</v>
      </c>
      <c r="U7" t="n">
        <v>212858</v>
      </c>
      <c r="V7" t="n">
        <v>219201</v>
      </c>
      <c r="W7" t="n">
        <v>221617</v>
      </c>
      <c r="X7" t="n">
        <v>237610</v>
      </c>
      <c r="Y7" t="n">
        <v>258466</v>
      </c>
      <c r="Z7" t="n">
        <v>272960</v>
      </c>
      <c r="AA7" t="n">
        <v>289575</v>
      </c>
      <c r="AB7" t="n">
        <v>308532</v>
      </c>
      <c r="AC7" t="n">
        <v>334030</v>
      </c>
      <c r="AD7" t="n">
        <v>370190</v>
      </c>
      <c r="AE7" t="n">
        <v>384698</v>
      </c>
      <c r="AF7" t="n">
        <v>443734</v>
      </c>
    </row>
    <row r="8">
      <c r="A8" t="s">
        <v>4</v>
      </c>
      <c r="B8" t="s">
        <v>173</v>
      </c>
      <c r="C8" t="s">
        <v>129</v>
      </c>
      <c r="D8" t="s">
        <v>174</v>
      </c>
      <c r="E8" t="s">
        <v>130</v>
      </c>
      <c r="F8" t="n">
        <v>100413</v>
      </c>
      <c r="G8" t="n">
        <v>114761</v>
      </c>
      <c r="H8" t="n">
        <v>158657</v>
      </c>
      <c r="I8" t="n">
        <v>167345</v>
      </c>
      <c r="J8" t="n">
        <v>187023</v>
      </c>
      <c r="K8" t="n">
        <v>125991</v>
      </c>
      <c r="L8" t="n">
        <v>144892</v>
      </c>
      <c r="M8" t="n">
        <v>192438</v>
      </c>
      <c r="N8" t="n">
        <v>191381</v>
      </c>
      <c r="O8" t="n">
        <v>300268</v>
      </c>
      <c r="P8" t="n">
        <v>341927</v>
      </c>
      <c r="Q8" t="n">
        <v>401342</v>
      </c>
      <c r="R8" t="n">
        <v>331236</v>
      </c>
      <c r="S8" t="n">
        <v>376677</v>
      </c>
      <c r="T8" t="n">
        <v>290837</v>
      </c>
      <c r="U8" t="n">
        <v>315985</v>
      </c>
      <c r="V8" t="n">
        <v>294808</v>
      </c>
      <c r="W8" t="n">
        <v>324175</v>
      </c>
      <c r="X8" t="n">
        <v>245270</v>
      </c>
      <c r="Y8" t="n">
        <v>279767</v>
      </c>
      <c r="Z8" t="n">
        <v>248315</v>
      </c>
      <c r="AA8" t="n">
        <v>237192</v>
      </c>
      <c r="AB8" t="n">
        <v>266037</v>
      </c>
      <c r="AC8" t="n">
        <v>282804</v>
      </c>
      <c r="AD8" t="n">
        <v>272092</v>
      </c>
      <c r="AE8" t="n">
        <v>181733</v>
      </c>
      <c r="AF8" t="n">
        <v>309969</v>
      </c>
    </row>
    <row r="9">
      <c r="A9" t="s">
        <v>4</v>
      </c>
      <c r="B9" t="s">
        <v>175</v>
      </c>
      <c r="C9" t="s">
        <v>129</v>
      </c>
      <c r="D9" t="s">
        <v>176</v>
      </c>
      <c r="E9" t="s">
        <v>130</v>
      </c>
      <c r="F9" t="n">
        <v>72296</v>
      </c>
      <c r="G9" t="n">
        <v>67338</v>
      </c>
      <c r="H9" t="n">
        <v>90371</v>
      </c>
      <c r="I9" t="n">
        <v>102726</v>
      </c>
      <c r="J9" t="n">
        <v>95148</v>
      </c>
      <c r="K9" t="n">
        <v>109792</v>
      </c>
      <c r="L9" t="n">
        <v>138358</v>
      </c>
      <c r="M9" t="n">
        <v>135184</v>
      </c>
      <c r="N9" t="n">
        <v>132506</v>
      </c>
      <c r="O9" t="n">
        <v>144808</v>
      </c>
      <c r="P9" t="n">
        <v>142473</v>
      </c>
      <c r="Q9" t="n">
        <v>173814</v>
      </c>
      <c r="R9" t="n">
        <v>206694</v>
      </c>
      <c r="S9" t="n">
        <v>185233</v>
      </c>
      <c r="T9" t="n">
        <v>121336</v>
      </c>
      <c r="U9" t="n">
        <v>137472</v>
      </c>
      <c r="V9" t="n">
        <v>155366</v>
      </c>
      <c r="W9" t="n">
        <v>183732</v>
      </c>
      <c r="X9" t="n">
        <v>213237</v>
      </c>
      <c r="Y9" t="n">
        <v>289048</v>
      </c>
      <c r="Z9" t="n">
        <v>392039</v>
      </c>
      <c r="AA9" t="n">
        <v>397151</v>
      </c>
      <c r="AB9" t="n">
        <v>488832</v>
      </c>
      <c r="AC9" t="n">
        <v>477330</v>
      </c>
      <c r="AD9" t="n">
        <v>408794</v>
      </c>
      <c r="AE9" t="n">
        <v>485687</v>
      </c>
      <c r="AF9" t="n">
        <v>681650</v>
      </c>
    </row>
    <row r="10">
      <c r="A10" t="s">
        <v>4</v>
      </c>
      <c r="B10" t="s">
        <v>177</v>
      </c>
      <c r="C10" t="s">
        <v>129</v>
      </c>
      <c r="D10" t="s">
        <v>178</v>
      </c>
      <c r="E10" t="s">
        <v>130</v>
      </c>
      <c r="F10" t="n">
        <v>129033</v>
      </c>
      <c r="G10" t="n">
        <v>135873</v>
      </c>
      <c r="H10" t="n">
        <v>188119</v>
      </c>
      <c r="I10" t="n">
        <v>218177</v>
      </c>
      <c r="J10" t="n">
        <v>209150</v>
      </c>
      <c r="K10" t="n">
        <v>251678</v>
      </c>
      <c r="L10" t="n">
        <v>319999</v>
      </c>
      <c r="M10" t="n">
        <v>329768</v>
      </c>
      <c r="N10" t="n">
        <v>365437</v>
      </c>
      <c r="O10" t="n">
        <v>389113</v>
      </c>
      <c r="P10" t="n">
        <v>409670</v>
      </c>
      <c r="Q10" t="n">
        <v>483013</v>
      </c>
      <c r="R10" t="n">
        <v>497936</v>
      </c>
      <c r="S10" t="n">
        <v>479687</v>
      </c>
      <c r="T10" t="n">
        <v>438507</v>
      </c>
      <c r="U10" t="n">
        <v>519283</v>
      </c>
      <c r="V10" t="n">
        <v>554142</v>
      </c>
      <c r="W10" t="n">
        <v>607087</v>
      </c>
      <c r="X10" t="n">
        <v>588589</v>
      </c>
      <c r="Y10" t="n">
        <v>713886</v>
      </c>
      <c r="Z10" t="n">
        <v>843367</v>
      </c>
      <c r="AA10" t="n">
        <v>834639</v>
      </c>
      <c r="AB10" t="n">
        <v>999519</v>
      </c>
      <c r="AC10" t="n">
        <v>963154</v>
      </c>
      <c r="AD10" t="n">
        <v>939328</v>
      </c>
      <c r="AE10" t="n">
        <v>1057483</v>
      </c>
      <c r="AF10" t="n">
        <v>1248124</v>
      </c>
    </row>
    <row r="11">
      <c r="A11" t="s">
        <v>4</v>
      </c>
      <c r="B11" t="s">
        <v>179</v>
      </c>
      <c r="C11" t="s">
        <v>129</v>
      </c>
      <c r="D11" t="s">
        <v>180</v>
      </c>
      <c r="E11" t="s">
        <v>130</v>
      </c>
      <c r="F11" t="n">
        <v>56737</v>
      </c>
      <c r="G11" t="n">
        <v>68535</v>
      </c>
      <c r="H11" t="n">
        <v>97748</v>
      </c>
      <c r="I11" t="n">
        <v>115451</v>
      </c>
      <c r="J11" t="n">
        <v>114002</v>
      </c>
      <c r="K11" t="n">
        <v>141886</v>
      </c>
      <c r="L11" t="n">
        <v>181641</v>
      </c>
      <c r="M11" t="n">
        <v>194584</v>
      </c>
      <c r="N11" t="n">
        <v>232931</v>
      </c>
      <c r="O11" t="n">
        <v>244305</v>
      </c>
      <c r="P11" t="n">
        <v>267197</v>
      </c>
      <c r="Q11" t="n">
        <v>309199</v>
      </c>
      <c r="R11" t="n">
        <v>291242</v>
      </c>
      <c r="S11" t="n">
        <v>294454</v>
      </c>
      <c r="T11" t="n">
        <v>317171</v>
      </c>
      <c r="U11" t="n">
        <v>381811</v>
      </c>
      <c r="V11" t="n">
        <v>398776</v>
      </c>
      <c r="W11" t="n">
        <v>423355</v>
      </c>
      <c r="X11" t="n">
        <v>375352</v>
      </c>
      <c r="Y11" t="n">
        <v>424838</v>
      </c>
      <c r="Z11" t="n">
        <v>451328</v>
      </c>
      <c r="AA11" t="n">
        <v>437488</v>
      </c>
      <c r="AB11" t="n">
        <v>510687</v>
      </c>
      <c r="AC11" t="n">
        <v>485824</v>
      </c>
      <c r="AD11" t="n">
        <v>530534</v>
      </c>
      <c r="AE11" t="n">
        <v>571796</v>
      </c>
      <c r="AF11" t="n">
        <v>566474</v>
      </c>
    </row>
    <row r="12">
      <c r="A12" t="s">
        <v>4</v>
      </c>
      <c r="B12" t="s">
        <v>181</v>
      </c>
      <c r="C12" t="s">
        <v>129</v>
      </c>
      <c r="D12" t="s">
        <v>182</v>
      </c>
      <c r="E12" t="s">
        <v>130</v>
      </c>
      <c r="F12" t="n">
        <v>94586</v>
      </c>
      <c r="G12" t="n">
        <v>111489</v>
      </c>
      <c r="H12" t="n">
        <v>144154</v>
      </c>
      <c r="I12" t="n">
        <v>178465</v>
      </c>
      <c r="J12" t="n">
        <v>194651</v>
      </c>
      <c r="K12" t="n">
        <v>223593</v>
      </c>
      <c r="L12" t="n">
        <v>271204</v>
      </c>
      <c r="M12" t="n">
        <v>295560</v>
      </c>
      <c r="N12" t="n">
        <v>319167</v>
      </c>
      <c r="O12" t="n">
        <v>327202</v>
      </c>
      <c r="P12" t="n">
        <v>353921</v>
      </c>
      <c r="Q12" t="n">
        <v>392567</v>
      </c>
      <c r="R12" t="n">
        <v>463050</v>
      </c>
      <c r="S12" t="n">
        <v>466672</v>
      </c>
      <c r="T12" t="n">
        <v>409878</v>
      </c>
      <c r="U12" t="n">
        <v>437676</v>
      </c>
      <c r="V12" t="n">
        <v>464410</v>
      </c>
      <c r="W12" t="n">
        <v>500018</v>
      </c>
      <c r="X12" t="n">
        <v>531979</v>
      </c>
      <c r="Y12" t="n">
        <v>595532</v>
      </c>
      <c r="Z12" t="n">
        <v>664863</v>
      </c>
      <c r="AA12" t="n">
        <v>710533</v>
      </c>
      <c r="AB12" t="n">
        <v>727503</v>
      </c>
      <c r="AC12" t="n">
        <v>835708</v>
      </c>
      <c r="AD12" t="n">
        <v>911451</v>
      </c>
      <c r="AE12" t="n">
        <v>936783</v>
      </c>
      <c r="AF12" t="n">
        <v>1031845</v>
      </c>
    </row>
    <row r="13">
      <c r="A13" t="s">
        <v>4</v>
      </c>
      <c r="B13" t="s">
        <v>183</v>
      </c>
      <c r="C13" t="s">
        <v>129</v>
      </c>
      <c r="D13" t="s">
        <v>184</v>
      </c>
      <c r="E13" t="s">
        <v>130</v>
      </c>
      <c r="F13" t="n">
        <v>118423</v>
      </c>
      <c r="G13" t="n">
        <v>136899</v>
      </c>
      <c r="H13" t="n">
        <v>175331</v>
      </c>
      <c r="I13" t="n">
        <v>209382</v>
      </c>
      <c r="J13" t="n">
        <v>207447</v>
      </c>
      <c r="K13" t="n">
        <v>261782</v>
      </c>
      <c r="L13" t="n">
        <v>288775</v>
      </c>
      <c r="M13" t="n">
        <v>292362</v>
      </c>
      <c r="N13" t="n">
        <v>326119</v>
      </c>
      <c r="O13" t="n">
        <v>380415</v>
      </c>
      <c r="P13" t="n">
        <v>396758</v>
      </c>
      <c r="Q13" t="n">
        <v>465746</v>
      </c>
      <c r="R13" t="n">
        <v>512001</v>
      </c>
      <c r="S13" t="n">
        <v>543513</v>
      </c>
      <c r="T13" t="n">
        <v>371395</v>
      </c>
      <c r="U13" t="n">
        <v>422460</v>
      </c>
      <c r="V13" t="n">
        <v>484724</v>
      </c>
      <c r="W13" t="n">
        <v>485565</v>
      </c>
      <c r="X13" t="n">
        <v>526242</v>
      </c>
      <c r="Y13" t="n">
        <v>568369</v>
      </c>
      <c r="Z13" t="n">
        <v>637542</v>
      </c>
      <c r="AA13" t="n">
        <v>675620</v>
      </c>
      <c r="AB13" t="n">
        <v>724112</v>
      </c>
      <c r="AC13" t="n">
        <v>832929</v>
      </c>
      <c r="AD13" t="n">
        <v>863267</v>
      </c>
      <c r="AE13" t="n">
        <v>856192</v>
      </c>
      <c r="AF13" t="n">
        <v>1001638</v>
      </c>
    </row>
    <row r="14">
      <c r="A14" t="s">
        <v>4</v>
      </c>
      <c r="B14" t="s">
        <v>185</v>
      </c>
      <c r="C14" t="s">
        <v>129</v>
      </c>
      <c r="D14" t="s">
        <v>186</v>
      </c>
      <c r="E14" t="s">
        <v>130</v>
      </c>
      <c r="F14" t="n">
        <v>40660</v>
      </c>
      <c r="G14" t="n">
        <v>64195</v>
      </c>
      <c r="H14" t="n">
        <v>130502</v>
      </c>
      <c r="I14" t="n">
        <v>165326</v>
      </c>
      <c r="J14" t="n">
        <v>185594</v>
      </c>
      <c r="K14" t="n">
        <v>205735</v>
      </c>
      <c r="L14" t="n">
        <v>247525</v>
      </c>
      <c r="M14" t="n">
        <v>251961</v>
      </c>
      <c r="N14" t="n">
        <v>365397</v>
      </c>
      <c r="O14" t="n">
        <v>454166</v>
      </c>
      <c r="P14" t="n">
        <v>520937</v>
      </c>
      <c r="Q14" t="n">
        <v>522613</v>
      </c>
      <c r="R14" t="n">
        <v>392726</v>
      </c>
      <c r="S14" t="n">
        <v>414501</v>
      </c>
      <c r="T14" t="n">
        <v>404635</v>
      </c>
      <c r="U14" t="n">
        <v>410728</v>
      </c>
      <c r="V14" t="n">
        <v>548778</v>
      </c>
      <c r="W14" t="n">
        <v>464460</v>
      </c>
      <c r="X14" t="n">
        <v>500433</v>
      </c>
      <c r="Y14" t="n">
        <v>522959</v>
      </c>
      <c r="Z14" t="n">
        <v>550403</v>
      </c>
      <c r="AA14" t="n">
        <v>580066</v>
      </c>
      <c r="AB14" t="n">
        <v>681868</v>
      </c>
      <c r="AC14" t="n">
        <v>691686</v>
      </c>
      <c r="AD14" t="n">
        <v>723431</v>
      </c>
      <c r="AE14" t="n">
        <v>730357</v>
      </c>
      <c r="AF14" t="n">
        <v>736311</v>
      </c>
    </row>
    <row r="15">
      <c r="A15" t="s">
        <v>4</v>
      </c>
      <c r="B15" t="s">
        <v>187</v>
      </c>
      <c r="C15" t="s">
        <v>129</v>
      </c>
      <c r="D15" t="s">
        <v>188</v>
      </c>
      <c r="E15" t="s">
        <v>130</v>
      </c>
      <c r="F15" t="n">
        <v>86311</v>
      </c>
      <c r="G15" t="n">
        <v>138371</v>
      </c>
      <c r="H15" t="n">
        <v>226679</v>
      </c>
      <c r="I15" t="n">
        <v>284569</v>
      </c>
      <c r="J15" t="n">
        <v>328362</v>
      </c>
      <c r="K15" t="n">
        <v>407411</v>
      </c>
      <c r="L15" t="n">
        <v>439781</v>
      </c>
      <c r="M15" t="n">
        <v>487950</v>
      </c>
      <c r="N15" t="n">
        <v>661557</v>
      </c>
      <c r="O15" t="n">
        <v>827369</v>
      </c>
      <c r="P15" t="n">
        <v>958183</v>
      </c>
      <c r="Q15" t="n">
        <v>937346</v>
      </c>
      <c r="R15" t="n">
        <v>859720</v>
      </c>
      <c r="S15" t="n">
        <v>861962</v>
      </c>
      <c r="T15" t="n">
        <v>593255</v>
      </c>
      <c r="U15" t="n">
        <v>622807</v>
      </c>
      <c r="V15" t="n">
        <v>760233</v>
      </c>
      <c r="W15" t="n">
        <v>686950</v>
      </c>
      <c r="X15" t="n">
        <v>734427</v>
      </c>
      <c r="Y15" t="n">
        <v>811183</v>
      </c>
      <c r="Z15" t="n">
        <v>844452</v>
      </c>
      <c r="AA15" t="n">
        <v>897723</v>
      </c>
      <c r="AB15" t="n">
        <v>1013501</v>
      </c>
      <c r="AC15" t="n">
        <v>1078527</v>
      </c>
      <c r="AD15" t="n">
        <v>1166774</v>
      </c>
      <c r="AE15" t="n">
        <v>1251794</v>
      </c>
      <c r="AF15" t="n">
        <v>1330749</v>
      </c>
    </row>
    <row r="16">
      <c r="A16" t="s">
        <v>4</v>
      </c>
      <c r="B16" t="s">
        <v>189</v>
      </c>
      <c r="C16" t="s">
        <v>129</v>
      </c>
      <c r="D16" t="s">
        <v>190</v>
      </c>
      <c r="E16" t="s">
        <v>130</v>
      </c>
      <c r="F16" t="n">
        <v>45651</v>
      </c>
      <c r="G16" t="n">
        <v>74176</v>
      </c>
      <c r="H16" t="n">
        <v>96177</v>
      </c>
      <c r="I16" t="n">
        <v>119243</v>
      </c>
      <c r="J16" t="n">
        <v>142768</v>
      </c>
      <c r="K16" t="n">
        <v>201676</v>
      </c>
      <c r="L16" t="n">
        <v>192256</v>
      </c>
      <c r="M16" t="n">
        <v>235989</v>
      </c>
      <c r="N16" t="n">
        <v>296160</v>
      </c>
      <c r="O16" t="n">
        <v>373203</v>
      </c>
      <c r="P16" t="n">
        <v>437246</v>
      </c>
      <c r="Q16" t="n">
        <v>414733</v>
      </c>
      <c r="R16" t="n">
        <v>466994</v>
      </c>
      <c r="S16" t="n">
        <v>447461</v>
      </c>
      <c r="T16" t="n">
        <v>188620</v>
      </c>
      <c r="U16" t="n">
        <v>212079</v>
      </c>
      <c r="V16" t="n">
        <v>211455</v>
      </c>
      <c r="W16" t="n">
        <v>222490</v>
      </c>
      <c r="X16" t="n">
        <v>233994</v>
      </c>
      <c r="Y16" t="n">
        <v>288224</v>
      </c>
      <c r="Z16" t="n">
        <v>294049</v>
      </c>
      <c r="AA16" t="n">
        <v>317657</v>
      </c>
      <c r="AB16" t="n">
        <v>331633</v>
      </c>
      <c r="AC16" t="n">
        <v>386841</v>
      </c>
      <c r="AD16" t="n">
        <v>443343</v>
      </c>
      <c r="AE16" t="n">
        <v>521437</v>
      </c>
      <c r="AF16" t="n">
        <v>594438</v>
      </c>
    </row>
    <row r="17">
      <c r="A17" t="s">
        <v>4</v>
      </c>
      <c r="B17" t="s">
        <v>191</v>
      </c>
      <c r="C17" t="s">
        <v>129</v>
      </c>
      <c r="D17" t="s">
        <v>192</v>
      </c>
      <c r="E17" t="s">
        <v>130</v>
      </c>
      <c r="F17" t="n">
        <v>56867</v>
      </c>
      <c r="G17" t="n">
        <v>73346</v>
      </c>
      <c r="H17" t="n">
        <v>92514</v>
      </c>
      <c r="I17" t="n">
        <v>102829</v>
      </c>
      <c r="J17" t="n">
        <v>114243</v>
      </c>
      <c r="K17" t="n">
        <v>119274</v>
      </c>
      <c r="L17" t="n">
        <v>142243</v>
      </c>
      <c r="M17" t="n">
        <v>164966</v>
      </c>
      <c r="N17" t="n">
        <v>170239</v>
      </c>
      <c r="O17" t="n">
        <v>185828</v>
      </c>
      <c r="P17" t="n">
        <v>213838</v>
      </c>
      <c r="Q17" t="n">
        <v>239651</v>
      </c>
      <c r="R17" t="n">
        <v>261490</v>
      </c>
      <c r="S17" t="n">
        <v>288477</v>
      </c>
      <c r="T17" t="n">
        <v>587093</v>
      </c>
      <c r="U17" t="n">
        <v>635007</v>
      </c>
      <c r="V17" t="n">
        <v>702595</v>
      </c>
      <c r="W17" t="n">
        <v>795577</v>
      </c>
      <c r="X17" t="n">
        <v>752154</v>
      </c>
      <c r="Y17" t="n">
        <v>820085</v>
      </c>
      <c r="Z17" t="n">
        <v>948968</v>
      </c>
      <c r="AA17" t="n">
        <v>640187</v>
      </c>
      <c r="AB17" t="n">
        <v>612128</v>
      </c>
      <c r="AC17" t="n">
        <v>581275</v>
      </c>
      <c r="AD17" t="n">
        <v>555713</v>
      </c>
      <c r="AE17" t="n">
        <v>551929</v>
      </c>
      <c r="AF17" t="n">
        <v>567290</v>
      </c>
    </row>
    <row r="18">
      <c r="A18" t="s">
        <v>4</v>
      </c>
      <c r="B18" t="s">
        <v>193</v>
      </c>
      <c r="C18" t="s">
        <v>129</v>
      </c>
      <c r="D18" t="s">
        <v>194</v>
      </c>
      <c r="E18" t="s">
        <v>130</v>
      </c>
      <c r="F18" t="n">
        <v>62239</v>
      </c>
      <c r="G18" t="n">
        <v>91772</v>
      </c>
      <c r="H18" t="n">
        <v>171746</v>
      </c>
      <c r="I18" t="n">
        <v>240661</v>
      </c>
      <c r="J18" t="n">
        <v>287130</v>
      </c>
      <c r="K18" t="n">
        <v>343761</v>
      </c>
      <c r="L18" t="n">
        <v>353895</v>
      </c>
      <c r="M18" t="n">
        <v>388119</v>
      </c>
      <c r="N18" t="n">
        <v>475197</v>
      </c>
      <c r="O18" t="n">
        <v>504821</v>
      </c>
      <c r="P18" t="n">
        <v>585184</v>
      </c>
      <c r="Q18" t="n">
        <v>776669</v>
      </c>
      <c r="R18" t="n">
        <v>896387</v>
      </c>
      <c r="S18" t="n">
        <v>893836</v>
      </c>
      <c r="T18" t="n">
        <v>696820</v>
      </c>
      <c r="U18" t="n">
        <v>878693</v>
      </c>
      <c r="V18" t="n">
        <v>855373</v>
      </c>
      <c r="W18" t="n">
        <v>787606</v>
      </c>
      <c r="X18" t="n">
        <v>1027110</v>
      </c>
      <c r="Y18" t="n">
        <v>1225386</v>
      </c>
      <c r="Z18" t="n">
        <v>1453929</v>
      </c>
      <c r="AA18" t="n">
        <v>1584836</v>
      </c>
      <c r="AB18" t="n">
        <v>1564654</v>
      </c>
      <c r="AC18" t="n">
        <v>1667660</v>
      </c>
      <c r="AD18" t="n">
        <v>1670656</v>
      </c>
      <c r="AE18" t="n">
        <v>1594750</v>
      </c>
      <c r="AF18" t="n">
        <v>1515994</v>
      </c>
    </row>
    <row r="19">
      <c r="A19" t="s">
        <v>4</v>
      </c>
      <c r="B19" t="s">
        <v>195</v>
      </c>
      <c r="C19" t="s">
        <v>129</v>
      </c>
      <c r="D19" t="s">
        <v>196</v>
      </c>
      <c r="E19" t="s">
        <v>130</v>
      </c>
      <c r="F19" t="n">
        <v>46678</v>
      </c>
      <c r="G19" t="n">
        <v>57033</v>
      </c>
      <c r="H19" t="n">
        <v>74928</v>
      </c>
      <c r="I19" t="n">
        <v>87054</v>
      </c>
      <c r="J19" t="n">
        <v>98788</v>
      </c>
      <c r="K19" t="n">
        <v>108880</v>
      </c>
      <c r="L19" t="n">
        <v>129418</v>
      </c>
      <c r="M19" t="n">
        <v>149895</v>
      </c>
      <c r="N19" t="n">
        <v>156485</v>
      </c>
      <c r="O19" t="n">
        <v>170840</v>
      </c>
      <c r="P19" t="n">
        <v>174442</v>
      </c>
      <c r="Q19" t="n">
        <v>192185</v>
      </c>
      <c r="R19" t="n">
        <v>203224</v>
      </c>
      <c r="S19" t="n">
        <v>221550</v>
      </c>
      <c r="T19" t="n">
        <v>248931</v>
      </c>
      <c r="U19" t="n">
        <v>266053</v>
      </c>
      <c r="V19" t="n">
        <v>272055</v>
      </c>
      <c r="W19" t="n">
        <v>288402</v>
      </c>
      <c r="X19" t="n">
        <v>313278</v>
      </c>
      <c r="Y19" t="n">
        <v>334828</v>
      </c>
      <c r="Z19" t="n">
        <v>361230</v>
      </c>
      <c r="AA19" t="n">
        <v>404031</v>
      </c>
      <c r="AB19" t="n">
        <v>436598</v>
      </c>
      <c r="AC19" t="n">
        <v>487120</v>
      </c>
      <c r="AD19" t="n">
        <v>572794</v>
      </c>
      <c r="AE19" t="n">
        <v>598193</v>
      </c>
      <c r="AF19" t="n">
        <v>656743</v>
      </c>
    </row>
    <row r="20">
      <c r="A20" t="s">
        <v>4</v>
      </c>
      <c r="B20" t="s">
        <v>197</v>
      </c>
      <c r="C20" t="s">
        <v>129</v>
      </c>
      <c r="D20" t="s">
        <v>198</v>
      </c>
      <c r="E20" t="s">
        <v>130</v>
      </c>
      <c r="F20" t="n">
        <v>127127</v>
      </c>
      <c r="G20" t="n">
        <v>161284</v>
      </c>
      <c r="H20" t="n">
        <v>237870</v>
      </c>
      <c r="I20" t="n">
        <v>294685</v>
      </c>
      <c r="J20" t="n">
        <v>328897</v>
      </c>
      <c r="K20" t="n">
        <v>338669</v>
      </c>
      <c r="L20" t="n">
        <v>346696</v>
      </c>
      <c r="M20" t="n">
        <v>378552</v>
      </c>
      <c r="N20" t="n">
        <v>401807</v>
      </c>
      <c r="O20" t="n">
        <v>475795</v>
      </c>
      <c r="P20" t="n">
        <v>467695</v>
      </c>
      <c r="Q20" t="n">
        <v>419949</v>
      </c>
      <c r="R20" t="n">
        <v>597538</v>
      </c>
      <c r="S20" t="n">
        <v>588617</v>
      </c>
      <c r="T20" t="n">
        <v>695536</v>
      </c>
      <c r="U20" t="n">
        <v>644568</v>
      </c>
      <c r="V20" t="n">
        <v>573242</v>
      </c>
      <c r="W20" t="n">
        <v>616181</v>
      </c>
      <c r="X20" t="n">
        <v>558271</v>
      </c>
      <c r="Y20" t="n">
        <v>579770</v>
      </c>
      <c r="Z20" t="n">
        <v>596525</v>
      </c>
      <c r="AA20" t="n">
        <v>692607</v>
      </c>
      <c r="AB20" t="n">
        <v>581809</v>
      </c>
      <c r="AC20" t="n">
        <v>583081</v>
      </c>
      <c r="AD20" t="n">
        <v>687526</v>
      </c>
      <c r="AE20" t="n">
        <v>675138</v>
      </c>
      <c r="AF20" t="n">
        <v>687061</v>
      </c>
    </row>
    <row r="21">
      <c r="A21" t="s">
        <v>4</v>
      </c>
      <c r="B21" t="s">
        <v>199</v>
      </c>
      <c r="C21" t="s">
        <v>129</v>
      </c>
      <c r="D21" t="s">
        <v>200</v>
      </c>
      <c r="E21" t="s">
        <v>130</v>
      </c>
      <c r="F21" t="n">
        <v>175919</v>
      </c>
      <c r="G21" t="n">
        <v>218813</v>
      </c>
      <c r="H21" t="n">
        <v>307510</v>
      </c>
      <c r="I21" t="n">
        <v>383700</v>
      </c>
      <c r="J21" t="n">
        <v>429038</v>
      </c>
      <c r="K21" t="n">
        <v>452781</v>
      </c>
      <c r="L21" t="n">
        <v>476423</v>
      </c>
      <c r="M21" t="n">
        <v>526974</v>
      </c>
      <c r="N21" t="n">
        <v>562502</v>
      </c>
      <c r="O21" t="n">
        <v>661826</v>
      </c>
      <c r="P21" t="n">
        <v>679988</v>
      </c>
      <c r="Q21" t="n">
        <v>648575</v>
      </c>
      <c r="R21" t="n">
        <v>838613</v>
      </c>
      <c r="S21" t="n">
        <v>845535</v>
      </c>
      <c r="T21" t="n">
        <v>962962</v>
      </c>
      <c r="U21" t="n">
        <v>929308</v>
      </c>
      <c r="V21" t="n">
        <v>865524</v>
      </c>
      <c r="W21" t="n">
        <v>897103</v>
      </c>
      <c r="X21" t="n">
        <v>832361</v>
      </c>
      <c r="Y21" t="n">
        <v>839569</v>
      </c>
      <c r="Z21" t="n">
        <v>874203</v>
      </c>
      <c r="AA21" t="n">
        <v>995173</v>
      </c>
      <c r="AB21" t="n">
        <v>897268</v>
      </c>
      <c r="AC21" t="n">
        <v>895835</v>
      </c>
      <c r="AD21" t="n">
        <v>1016473</v>
      </c>
      <c r="AE21" t="n">
        <v>1000662</v>
      </c>
      <c r="AF21" t="n">
        <v>1049175</v>
      </c>
    </row>
    <row r="22">
      <c r="A22" t="s">
        <v>4</v>
      </c>
      <c r="B22" t="s">
        <v>201</v>
      </c>
      <c r="C22" t="s">
        <v>129</v>
      </c>
      <c r="D22" t="s">
        <v>202</v>
      </c>
      <c r="E22" t="s">
        <v>130</v>
      </c>
      <c r="F22" t="n">
        <v>48792</v>
      </c>
      <c r="G22" t="n">
        <v>57529</v>
      </c>
      <c r="H22" t="n">
        <v>69640</v>
      </c>
      <c r="I22" t="n">
        <v>89015</v>
      </c>
      <c r="J22" t="n">
        <v>100141</v>
      </c>
      <c r="K22" t="n">
        <v>114112</v>
      </c>
      <c r="L22" t="n">
        <v>129727</v>
      </c>
      <c r="M22" t="n">
        <v>148422</v>
      </c>
      <c r="N22" t="n">
        <v>160695</v>
      </c>
      <c r="O22" t="n">
        <v>186031</v>
      </c>
      <c r="P22" t="n">
        <v>212293</v>
      </c>
      <c r="Q22" t="n">
        <v>228626</v>
      </c>
      <c r="R22" t="n">
        <v>241075</v>
      </c>
      <c r="S22" t="n">
        <v>256918</v>
      </c>
      <c r="T22" t="n">
        <v>267426</v>
      </c>
      <c r="U22" t="n">
        <v>284740</v>
      </c>
      <c r="V22" t="n">
        <v>292282</v>
      </c>
      <c r="W22" t="n">
        <v>280922</v>
      </c>
      <c r="X22" t="n">
        <v>274090</v>
      </c>
      <c r="Y22" t="n">
        <v>259799</v>
      </c>
      <c r="Z22" t="n">
        <v>277678</v>
      </c>
      <c r="AA22" t="n">
        <v>302566</v>
      </c>
      <c r="AB22" t="n">
        <v>315459</v>
      </c>
      <c r="AC22" t="n">
        <v>312754</v>
      </c>
      <c r="AD22" t="n">
        <v>328947</v>
      </c>
      <c r="AE22" t="n">
        <v>325524</v>
      </c>
      <c r="AF22" t="n">
        <v>362114</v>
      </c>
    </row>
    <row r="23">
      <c r="A23" t="s">
        <v>4</v>
      </c>
      <c r="B23" t="s">
        <v>203</v>
      </c>
      <c r="C23" t="s">
        <v>129</v>
      </c>
      <c r="D23" t="s">
        <v>204</v>
      </c>
      <c r="E23" t="s">
        <v>130</v>
      </c>
      <c r="F23" t="n">
        <v>246523</v>
      </c>
      <c r="G23" t="n">
        <v>278785</v>
      </c>
      <c r="H23" t="n">
        <v>369706</v>
      </c>
      <c r="I23" t="n">
        <v>436764</v>
      </c>
      <c r="J23" t="n">
        <v>496031</v>
      </c>
      <c r="K23" t="n">
        <v>576543</v>
      </c>
      <c r="L23" t="n">
        <v>719839</v>
      </c>
      <c r="M23" t="n">
        <v>875059</v>
      </c>
      <c r="N23" t="n">
        <v>893538</v>
      </c>
      <c r="O23" t="n">
        <v>964621</v>
      </c>
      <c r="P23" t="n">
        <v>1118623</v>
      </c>
      <c r="Q23" t="n">
        <v>1126534</v>
      </c>
      <c r="R23" t="n">
        <v>1086989</v>
      </c>
      <c r="S23" t="n">
        <v>1140766</v>
      </c>
      <c r="T23" t="n">
        <v>1090425</v>
      </c>
      <c r="U23" t="n">
        <v>965773</v>
      </c>
      <c r="V23" t="n">
        <v>978550</v>
      </c>
      <c r="W23" t="n">
        <v>937331</v>
      </c>
      <c r="X23" t="n">
        <v>1036728</v>
      </c>
      <c r="Y23" t="n">
        <v>1161076</v>
      </c>
      <c r="Z23" t="n">
        <v>1241928</v>
      </c>
      <c r="AA23" t="n">
        <v>1099441</v>
      </c>
      <c r="AB23" t="n">
        <v>1419631</v>
      </c>
      <c r="AC23" t="n">
        <v>1861106</v>
      </c>
      <c r="AD23" t="n">
        <v>2339778</v>
      </c>
      <c r="AE23" t="n">
        <v>2352667</v>
      </c>
      <c r="AF23" t="n">
        <v>2886783</v>
      </c>
    </row>
    <row r="24">
      <c r="A24" t="s">
        <v>4</v>
      </c>
      <c r="B24" t="s">
        <v>205</v>
      </c>
      <c r="C24" t="s">
        <v>129</v>
      </c>
      <c r="D24" t="s">
        <v>206</v>
      </c>
      <c r="E24" t="s">
        <v>130</v>
      </c>
      <c r="F24" t="n">
        <v>418620</v>
      </c>
      <c r="G24" t="n">
        <v>544869</v>
      </c>
      <c r="H24" t="n">
        <v>714125</v>
      </c>
      <c r="I24" t="n">
        <v>879471</v>
      </c>
      <c r="J24" t="n">
        <v>918589</v>
      </c>
      <c r="K24" t="n">
        <v>1109073</v>
      </c>
      <c r="L24" t="n">
        <v>1356797</v>
      </c>
      <c r="M24" t="n">
        <v>1578577</v>
      </c>
      <c r="N24" t="n">
        <v>1628662</v>
      </c>
      <c r="O24" t="n">
        <v>1810538</v>
      </c>
      <c r="P24" t="n">
        <v>1961696</v>
      </c>
      <c r="Q24" t="n">
        <v>2200994</v>
      </c>
      <c r="R24" t="n">
        <v>2346257</v>
      </c>
      <c r="S24" t="n">
        <v>2591882</v>
      </c>
      <c r="T24" t="n">
        <v>2241149</v>
      </c>
      <c r="U24" t="n">
        <v>2291104</v>
      </c>
      <c r="V24" t="n">
        <v>2424584</v>
      </c>
      <c r="W24" t="n">
        <v>2402385</v>
      </c>
      <c r="X24" t="n">
        <v>2696960</v>
      </c>
      <c r="Y24" t="n">
        <v>2948662</v>
      </c>
      <c r="Z24" t="n">
        <v>3058268</v>
      </c>
      <c r="AA24" t="n">
        <v>3143059</v>
      </c>
      <c r="AB24" t="n">
        <v>3425328</v>
      </c>
      <c r="AC24" t="n">
        <v>3898354</v>
      </c>
      <c r="AD24" t="n">
        <v>4130439</v>
      </c>
      <c r="AE24" t="n">
        <v>4443057</v>
      </c>
      <c r="AF24" t="n">
        <v>5276371</v>
      </c>
    </row>
    <row r="25">
      <c r="A25" t="s">
        <v>4</v>
      </c>
      <c r="B25" t="s">
        <v>207</v>
      </c>
      <c r="C25" t="s">
        <v>129</v>
      </c>
      <c r="D25" t="s">
        <v>208</v>
      </c>
      <c r="E25" t="s">
        <v>130</v>
      </c>
      <c r="F25" t="n">
        <v>41246</v>
      </c>
      <c r="G25" t="n">
        <v>62825</v>
      </c>
      <c r="H25" t="n">
        <v>78587</v>
      </c>
      <c r="I25" t="n">
        <v>105160</v>
      </c>
      <c r="J25" t="n">
        <v>110870</v>
      </c>
      <c r="K25" t="n">
        <v>141821</v>
      </c>
      <c r="L25" t="n">
        <v>176634</v>
      </c>
      <c r="M25" t="n">
        <v>203497</v>
      </c>
      <c r="N25" t="n">
        <v>209221</v>
      </c>
      <c r="O25" t="n">
        <v>213791</v>
      </c>
      <c r="P25" t="n">
        <v>208888</v>
      </c>
      <c r="Q25" t="n">
        <v>235107</v>
      </c>
      <c r="R25" t="n">
        <v>279010</v>
      </c>
      <c r="S25" t="n">
        <v>310083</v>
      </c>
      <c r="T25" t="n">
        <v>245886</v>
      </c>
      <c r="U25" t="n">
        <v>206245</v>
      </c>
      <c r="V25" t="n">
        <v>242799</v>
      </c>
      <c r="W25" t="n">
        <v>241570</v>
      </c>
      <c r="X25" t="n">
        <v>264599</v>
      </c>
      <c r="Y25" t="n">
        <v>303711</v>
      </c>
      <c r="Z25" t="n">
        <v>317776</v>
      </c>
      <c r="AA25" t="n">
        <v>338508</v>
      </c>
      <c r="AB25" t="n">
        <v>381104</v>
      </c>
      <c r="AC25" t="n">
        <v>465657</v>
      </c>
      <c r="AD25" t="n">
        <v>501578</v>
      </c>
      <c r="AE25" t="n">
        <v>476158</v>
      </c>
      <c r="AF25" t="n">
        <v>562127</v>
      </c>
    </row>
    <row r="26">
      <c r="A26" t="s">
        <v>4</v>
      </c>
      <c r="B26" t="s">
        <v>209</v>
      </c>
      <c r="C26" t="s">
        <v>129</v>
      </c>
      <c r="D26" t="s">
        <v>210</v>
      </c>
      <c r="E26" t="s">
        <v>130</v>
      </c>
      <c r="F26" t="n">
        <v>172944</v>
      </c>
      <c r="G26" t="n">
        <v>230896</v>
      </c>
      <c r="H26" t="n">
        <v>336907</v>
      </c>
      <c r="I26" t="n">
        <v>413892</v>
      </c>
      <c r="J26" t="n">
        <v>427057</v>
      </c>
      <c r="K26" t="n">
        <v>532117</v>
      </c>
      <c r="L26" t="n">
        <v>638335</v>
      </c>
      <c r="M26" t="n">
        <v>757393</v>
      </c>
      <c r="N26" t="n">
        <v>784680</v>
      </c>
      <c r="O26" t="n">
        <v>884460</v>
      </c>
      <c r="P26" t="n">
        <v>981598</v>
      </c>
      <c r="Q26" t="n">
        <v>1136704</v>
      </c>
      <c r="R26" t="n">
        <v>1200960</v>
      </c>
      <c r="S26" t="n">
        <v>1344278</v>
      </c>
      <c r="T26" t="n">
        <v>1165385</v>
      </c>
      <c r="U26" t="n">
        <v>1249883</v>
      </c>
      <c r="V26" t="n">
        <v>1272065</v>
      </c>
      <c r="W26" t="n">
        <v>1253254</v>
      </c>
      <c r="X26" t="n">
        <v>1373485</v>
      </c>
      <c r="Y26" t="n">
        <v>1435713</v>
      </c>
      <c r="Z26" t="n">
        <v>1511469</v>
      </c>
      <c r="AA26" t="n">
        <v>1515024</v>
      </c>
      <c r="AB26" t="n">
        <v>1594887</v>
      </c>
      <c r="AC26" t="n">
        <v>1790897</v>
      </c>
      <c r="AD26" t="n">
        <v>1818891</v>
      </c>
      <c r="AE26" t="n">
        <v>2146087</v>
      </c>
      <c r="AF26" t="n">
        <v>2651456</v>
      </c>
    </row>
    <row r="27">
      <c r="A27" t="s">
        <v>4</v>
      </c>
      <c r="B27" t="s">
        <v>211</v>
      </c>
      <c r="C27" t="s">
        <v>129</v>
      </c>
      <c r="D27" t="s">
        <v>212</v>
      </c>
      <c r="E27" t="s">
        <v>130</v>
      </c>
      <c r="F27" t="n">
        <v>204430</v>
      </c>
      <c r="G27" t="n">
        <v>251148</v>
      </c>
      <c r="H27" t="n">
        <v>298631</v>
      </c>
      <c r="I27" t="n">
        <v>360419</v>
      </c>
      <c r="J27" t="n">
        <v>380662</v>
      </c>
      <c r="K27" t="n">
        <v>435135</v>
      </c>
      <c r="L27" t="n">
        <v>541828</v>
      </c>
      <c r="M27" t="n">
        <v>617687</v>
      </c>
      <c r="N27" t="n">
        <v>634761</v>
      </c>
      <c r="O27" t="n">
        <v>712287</v>
      </c>
      <c r="P27" t="n">
        <v>771210</v>
      </c>
      <c r="Q27" t="n">
        <v>829183</v>
      </c>
      <c r="R27" t="n">
        <v>866287</v>
      </c>
      <c r="S27" t="n">
        <v>937521</v>
      </c>
      <c r="T27" t="n">
        <v>829878</v>
      </c>
      <c r="U27" t="n">
        <v>834976</v>
      </c>
      <c r="V27" t="n">
        <v>909720</v>
      </c>
      <c r="W27" t="n">
        <v>907561</v>
      </c>
      <c r="X27" t="n">
        <v>1058876</v>
      </c>
      <c r="Y27" t="n">
        <v>1209238</v>
      </c>
      <c r="Z27" t="n">
        <v>1229023</v>
      </c>
      <c r="AA27" t="n">
        <v>1289527</v>
      </c>
      <c r="AB27" t="n">
        <v>1449337</v>
      </c>
      <c r="AC27" t="n">
        <v>1641800</v>
      </c>
      <c r="AD27" t="n">
        <v>1809970</v>
      </c>
      <c r="AE27" t="n">
        <v>1820812</v>
      </c>
      <c r="AF27" t="n">
        <v>2062788</v>
      </c>
    </row>
    <row r="28">
      <c r="A28" t="s">
        <v>4</v>
      </c>
      <c r="B28" t="s">
        <v>213</v>
      </c>
      <c r="C28" t="s">
        <v>129</v>
      </c>
      <c r="D28" t="s">
        <v>214</v>
      </c>
      <c r="E28" t="s">
        <v>130</v>
      </c>
      <c r="F28" t="n">
        <v>313278</v>
      </c>
      <c r="G28" t="n">
        <v>354377</v>
      </c>
      <c r="H28" t="n">
        <v>465811</v>
      </c>
      <c r="I28" t="n">
        <v>534309</v>
      </c>
      <c r="J28" t="n">
        <v>602116</v>
      </c>
      <c r="K28" t="n">
        <v>648004</v>
      </c>
      <c r="L28" t="n">
        <v>761811</v>
      </c>
      <c r="M28" t="n">
        <v>830020</v>
      </c>
      <c r="N28" t="n">
        <v>841833</v>
      </c>
      <c r="O28" t="n">
        <v>943961</v>
      </c>
      <c r="P28" t="n">
        <v>1018550</v>
      </c>
      <c r="Q28" t="n">
        <v>1147720</v>
      </c>
      <c r="R28" t="n">
        <v>1286239</v>
      </c>
      <c r="S28" t="n">
        <v>1311848</v>
      </c>
      <c r="T28" t="n">
        <v>1301145</v>
      </c>
      <c r="U28" t="n">
        <v>1399793</v>
      </c>
      <c r="V28" t="n">
        <v>1519273</v>
      </c>
      <c r="W28" t="n">
        <v>1562550</v>
      </c>
      <c r="X28" t="n">
        <v>1671892</v>
      </c>
      <c r="Y28" t="n">
        <v>1813653</v>
      </c>
      <c r="Z28" t="n">
        <v>1911379</v>
      </c>
      <c r="AA28" t="n">
        <v>2032552</v>
      </c>
      <c r="AB28" t="n">
        <v>2057045</v>
      </c>
      <c r="AC28" t="n">
        <v>2230075</v>
      </c>
      <c r="AD28" t="n">
        <v>2471674</v>
      </c>
      <c r="AE28" t="n">
        <v>2375878</v>
      </c>
      <c r="AF28" t="n">
        <v>2465093</v>
      </c>
    </row>
    <row r="29">
      <c r="A29" t="s">
        <v>4</v>
      </c>
      <c r="B29" t="s">
        <v>215</v>
      </c>
      <c r="C29" t="s">
        <v>129</v>
      </c>
      <c r="D29" t="s">
        <v>216</v>
      </c>
      <c r="E29" t="s">
        <v>130</v>
      </c>
      <c r="F29" t="n">
        <v>232023</v>
      </c>
      <c r="G29" t="n">
        <v>246178</v>
      </c>
      <c r="H29" t="n">
        <v>335698</v>
      </c>
      <c r="I29" t="n">
        <v>386713</v>
      </c>
      <c r="J29" t="n">
        <v>418578</v>
      </c>
      <c r="K29" t="n">
        <v>441250</v>
      </c>
      <c r="L29" t="n">
        <v>513325</v>
      </c>
      <c r="M29" t="n">
        <v>541090</v>
      </c>
      <c r="N29" t="n">
        <v>553043</v>
      </c>
      <c r="O29" t="n">
        <v>629401</v>
      </c>
      <c r="P29" t="n">
        <v>652324</v>
      </c>
      <c r="Q29" t="n">
        <v>713879</v>
      </c>
      <c r="R29" t="n">
        <v>796829</v>
      </c>
      <c r="S29" t="n">
        <v>691624</v>
      </c>
      <c r="T29" t="n">
        <v>661996</v>
      </c>
      <c r="U29" t="n">
        <v>676575</v>
      </c>
      <c r="V29" t="n">
        <v>724417</v>
      </c>
      <c r="W29" t="n">
        <v>731502</v>
      </c>
      <c r="X29" t="n">
        <v>822283</v>
      </c>
      <c r="Y29" t="n">
        <v>885612</v>
      </c>
      <c r="Z29" t="n">
        <v>949192</v>
      </c>
      <c r="AA29" t="n">
        <v>1028775</v>
      </c>
      <c r="AB29" t="n">
        <v>1039057</v>
      </c>
      <c r="AC29" t="n">
        <v>1134402</v>
      </c>
      <c r="AD29" t="n">
        <v>1241616</v>
      </c>
      <c r="AE29" t="n">
        <v>1312424</v>
      </c>
      <c r="AF29" t="n">
        <v>1341573</v>
      </c>
    </row>
    <row r="30">
      <c r="A30" t="s">
        <v>4</v>
      </c>
      <c r="B30" t="s">
        <v>217</v>
      </c>
      <c r="C30" t="s">
        <v>129</v>
      </c>
      <c r="D30" t="s">
        <v>218</v>
      </c>
      <c r="E30" t="s">
        <v>130</v>
      </c>
      <c r="F30" t="n">
        <v>2619</v>
      </c>
      <c r="G30" t="n">
        <v>11317</v>
      </c>
      <c r="H30" t="n">
        <v>2411</v>
      </c>
      <c r="I30" t="n">
        <v>3538</v>
      </c>
      <c r="J30" t="n">
        <v>2781</v>
      </c>
      <c r="K30" t="n">
        <v>2667</v>
      </c>
      <c r="L30" t="n">
        <v>3300</v>
      </c>
      <c r="M30" t="n">
        <v>3566</v>
      </c>
      <c r="N30" t="n">
        <v>3499</v>
      </c>
      <c r="O30" t="n">
        <v>2904</v>
      </c>
      <c r="P30" t="n">
        <v>4930</v>
      </c>
      <c r="Q30" t="n">
        <v>4400</v>
      </c>
      <c r="R30" t="n">
        <v>5336</v>
      </c>
      <c r="S30" t="n">
        <v>5475</v>
      </c>
      <c r="T30" t="n">
        <v>3086</v>
      </c>
      <c r="U30" t="n">
        <v>3736</v>
      </c>
      <c r="V30" t="n">
        <v>2263</v>
      </c>
      <c r="W30" t="n">
        <v>2911</v>
      </c>
      <c r="X30" t="n">
        <v>3877</v>
      </c>
      <c r="Y30" t="n">
        <v>3122</v>
      </c>
      <c r="Z30" t="n">
        <v>3643</v>
      </c>
      <c r="AA30" t="n">
        <v>4110</v>
      </c>
      <c r="AB30" t="n">
        <v>4567</v>
      </c>
      <c r="AC30" t="n">
        <v>3555</v>
      </c>
      <c r="AD30" t="n">
        <v>2764</v>
      </c>
      <c r="AE30" t="n">
        <v>5058</v>
      </c>
      <c r="AF30" t="n">
        <v>4208</v>
      </c>
    </row>
    <row r="31">
      <c r="A31" t="s">
        <v>4</v>
      </c>
      <c r="B31" t="s">
        <v>219</v>
      </c>
      <c r="C31" t="s">
        <v>129</v>
      </c>
      <c r="D31" t="s">
        <v>220</v>
      </c>
      <c r="E31" t="s">
        <v>130</v>
      </c>
      <c r="F31" t="n">
        <v>6017</v>
      </c>
      <c r="G31" t="n">
        <v>7240</v>
      </c>
      <c r="H31" t="n">
        <v>11707</v>
      </c>
      <c r="I31" t="n">
        <v>14590</v>
      </c>
      <c r="J31" t="n">
        <v>16145</v>
      </c>
      <c r="K31" t="n">
        <v>11497</v>
      </c>
      <c r="L31" t="n">
        <v>8099</v>
      </c>
      <c r="M31" t="n">
        <v>18430</v>
      </c>
      <c r="N31" t="n">
        <v>21517</v>
      </c>
      <c r="O31" t="n">
        <v>22864</v>
      </c>
      <c r="P31" t="n">
        <v>18011</v>
      </c>
      <c r="Q31" t="n">
        <v>17524</v>
      </c>
      <c r="R31" t="n">
        <v>23184</v>
      </c>
      <c r="S31" t="n">
        <v>18379</v>
      </c>
      <c r="T31" t="n">
        <v>35048</v>
      </c>
      <c r="U31" t="n">
        <v>31366</v>
      </c>
      <c r="V31" t="n">
        <v>41832</v>
      </c>
      <c r="W31" t="n">
        <v>53538</v>
      </c>
      <c r="X31" t="n">
        <v>87122</v>
      </c>
      <c r="Y31" t="n">
        <v>108211</v>
      </c>
      <c r="Z31" t="n">
        <v>167162</v>
      </c>
      <c r="AA31" t="n">
        <v>192186</v>
      </c>
      <c r="AB31" t="n">
        <v>214387</v>
      </c>
      <c r="AC31" t="n">
        <v>207788</v>
      </c>
      <c r="AD31" t="n">
        <v>260585</v>
      </c>
      <c r="AE31" t="n">
        <v>61581</v>
      </c>
      <c r="AF31" t="n">
        <v>-34669</v>
      </c>
    </row>
    <row r="32">
      <c r="A32" t="s">
        <v>4</v>
      </c>
      <c r="B32" t="s">
        <v>221</v>
      </c>
      <c r="C32" t="s">
        <v>129</v>
      </c>
      <c r="D32" t="s">
        <v>222</v>
      </c>
      <c r="E32" t="s">
        <v>130</v>
      </c>
      <c r="F32" t="n">
        <v>32059</v>
      </c>
      <c r="G32" t="n">
        <v>45541</v>
      </c>
      <c r="H32" t="n">
        <v>62463</v>
      </c>
      <c r="I32" t="n">
        <v>67761</v>
      </c>
      <c r="J32" t="n">
        <v>93626</v>
      </c>
      <c r="K32" t="n">
        <v>115280</v>
      </c>
      <c r="L32" t="n">
        <v>120588</v>
      </c>
      <c r="M32" t="n">
        <v>138622</v>
      </c>
      <c r="N32" t="n">
        <v>154282</v>
      </c>
      <c r="O32" t="n">
        <v>169939</v>
      </c>
      <c r="P32" t="n">
        <v>213559</v>
      </c>
      <c r="Q32" t="n">
        <v>272105</v>
      </c>
      <c r="R32" t="n">
        <v>321951</v>
      </c>
      <c r="S32" t="n">
        <v>448150</v>
      </c>
      <c r="T32" t="n">
        <v>459910</v>
      </c>
      <c r="U32" t="n">
        <v>545248</v>
      </c>
      <c r="V32" t="n">
        <v>607486</v>
      </c>
      <c r="W32" t="n">
        <v>631066</v>
      </c>
      <c r="X32" t="n">
        <v>609619</v>
      </c>
      <c r="Y32" t="n">
        <v>660369</v>
      </c>
      <c r="Z32" t="n">
        <v>632063</v>
      </c>
      <c r="AA32" t="n">
        <v>644215</v>
      </c>
      <c r="AB32" t="n">
        <v>639097</v>
      </c>
      <c r="AC32" t="n">
        <v>713892</v>
      </c>
      <c r="AD32" t="n">
        <v>776682</v>
      </c>
      <c r="AE32" t="n">
        <v>788648</v>
      </c>
      <c r="AF32" t="n">
        <v>865399</v>
      </c>
    </row>
    <row r="33">
      <c r="A33" t="s">
        <v>4</v>
      </c>
      <c r="B33" t="s">
        <v>223</v>
      </c>
      <c r="C33" t="s">
        <v>129</v>
      </c>
      <c r="D33" t="s">
        <v>224</v>
      </c>
      <c r="E33" t="s">
        <v>130</v>
      </c>
      <c r="F33" t="n">
        <v>40560</v>
      </c>
      <c r="G33" t="n">
        <v>44101</v>
      </c>
      <c r="H33" t="n">
        <v>53532</v>
      </c>
      <c r="I33" t="n">
        <v>61707</v>
      </c>
      <c r="J33" t="n">
        <v>70986</v>
      </c>
      <c r="K33" t="n">
        <v>77310</v>
      </c>
      <c r="L33" t="n">
        <v>116499</v>
      </c>
      <c r="M33" t="n">
        <v>128312</v>
      </c>
      <c r="N33" t="n">
        <v>109492</v>
      </c>
      <c r="O33" t="n">
        <v>118853</v>
      </c>
      <c r="P33" t="n">
        <v>129726</v>
      </c>
      <c r="Q33" t="n">
        <v>139812</v>
      </c>
      <c r="R33" t="n">
        <v>138939</v>
      </c>
      <c r="S33" t="n">
        <v>148220</v>
      </c>
      <c r="T33" t="n">
        <v>141105</v>
      </c>
      <c r="U33" t="n">
        <v>142868</v>
      </c>
      <c r="V33" t="n">
        <v>143275</v>
      </c>
      <c r="W33" t="n">
        <v>143533</v>
      </c>
      <c r="X33" t="n">
        <v>148991</v>
      </c>
      <c r="Y33" t="n">
        <v>156339</v>
      </c>
      <c r="Z33" t="n">
        <v>159319</v>
      </c>
      <c r="AA33" t="n">
        <v>163266</v>
      </c>
      <c r="AB33" t="n">
        <v>159937</v>
      </c>
      <c r="AC33" t="n">
        <v>170438</v>
      </c>
      <c r="AD33" t="n">
        <v>190027</v>
      </c>
      <c r="AE33" t="n">
        <v>208167</v>
      </c>
      <c r="AF33" t="n">
        <v>288582</v>
      </c>
    </row>
    <row r="34">
      <c r="A34" t="s">
        <v>4</v>
      </c>
      <c r="B34" t="s">
        <v>225</v>
      </c>
      <c r="C34" t="s">
        <v>129</v>
      </c>
      <c r="D34" t="s">
        <v>226</v>
      </c>
      <c r="E34" t="s">
        <v>130</v>
      </c>
      <c r="F34" t="n">
        <v>113017</v>
      </c>
      <c r="G34" t="n">
        <v>137052</v>
      </c>
      <c r="H34" t="n">
        <v>172629</v>
      </c>
      <c r="I34" t="n">
        <v>186789</v>
      </c>
      <c r="J34" t="n">
        <v>211684</v>
      </c>
      <c r="K34" t="n">
        <v>238367</v>
      </c>
      <c r="L34" t="n">
        <v>269046</v>
      </c>
      <c r="M34" t="n">
        <v>318769</v>
      </c>
      <c r="N34" t="n">
        <v>339246</v>
      </c>
      <c r="O34" t="n">
        <v>376780</v>
      </c>
      <c r="P34" t="n">
        <v>387846</v>
      </c>
      <c r="Q34" t="n">
        <v>405772</v>
      </c>
      <c r="R34" t="n">
        <v>453474</v>
      </c>
      <c r="S34" t="n">
        <v>450204</v>
      </c>
      <c r="T34" t="n">
        <v>436997</v>
      </c>
      <c r="U34" t="n">
        <v>414244</v>
      </c>
      <c r="V34" t="n">
        <v>401029</v>
      </c>
      <c r="W34" t="n">
        <v>378004</v>
      </c>
      <c r="X34" t="n">
        <v>380399</v>
      </c>
      <c r="Y34" t="n">
        <v>458323</v>
      </c>
      <c r="Z34" t="n">
        <v>484547</v>
      </c>
      <c r="AA34" t="n">
        <v>503782</v>
      </c>
      <c r="AB34" t="n">
        <v>602833</v>
      </c>
      <c r="AC34" t="n">
        <v>700808</v>
      </c>
      <c r="AD34" t="n">
        <v>801305</v>
      </c>
      <c r="AE34" t="n">
        <v>520623</v>
      </c>
      <c r="AF34" t="n">
        <v>764255</v>
      </c>
    </row>
    <row r="35">
      <c r="A35" t="s">
        <v>4</v>
      </c>
      <c r="B35" t="s">
        <v>227</v>
      </c>
      <c r="C35" t="s">
        <v>129</v>
      </c>
      <c r="D35" t="s">
        <v>228</v>
      </c>
      <c r="E35" t="s">
        <v>130</v>
      </c>
      <c r="F35" t="n">
        <v>168418</v>
      </c>
      <c r="G35" t="n">
        <v>240176</v>
      </c>
      <c r="H35" t="n">
        <v>332664</v>
      </c>
      <c r="I35" t="n">
        <v>420929</v>
      </c>
      <c r="J35" t="n">
        <v>524578</v>
      </c>
      <c r="K35" t="n">
        <v>575511</v>
      </c>
      <c r="L35" t="n">
        <v>646720</v>
      </c>
      <c r="M35" t="n">
        <v>766663</v>
      </c>
      <c r="N35" t="n">
        <v>867450</v>
      </c>
      <c r="O35" t="n">
        <v>912975</v>
      </c>
      <c r="P35" t="n">
        <v>1001047</v>
      </c>
      <c r="Q35" t="n">
        <v>1090451</v>
      </c>
      <c r="R35" t="n">
        <v>1186142</v>
      </c>
      <c r="S35" t="n">
        <v>1247543</v>
      </c>
      <c r="T35" t="n">
        <v>1262738</v>
      </c>
      <c r="U35" t="n">
        <v>1241256</v>
      </c>
      <c r="V35" t="n">
        <v>1279822</v>
      </c>
      <c r="W35" t="n">
        <v>1292452</v>
      </c>
      <c r="X35" t="n">
        <v>1345789</v>
      </c>
      <c r="Y35" t="n">
        <v>1428235</v>
      </c>
      <c r="Z35" t="n">
        <v>1430383</v>
      </c>
      <c r="AA35" t="n">
        <v>1498235</v>
      </c>
      <c r="AB35" t="n">
        <v>1624182</v>
      </c>
      <c r="AC35" t="n">
        <v>1800812</v>
      </c>
      <c r="AD35" t="n">
        <v>1995339</v>
      </c>
      <c r="AE35" t="n">
        <v>2135431</v>
      </c>
      <c r="AF35" t="n">
        <v>2510408</v>
      </c>
    </row>
    <row r="36">
      <c r="A36" t="s">
        <v>4</v>
      </c>
      <c r="B36" t="s">
        <v>229</v>
      </c>
      <c r="C36" t="s">
        <v>129</v>
      </c>
      <c r="D36" t="s">
        <v>230</v>
      </c>
      <c r="E36" t="s">
        <v>130</v>
      </c>
      <c r="F36" t="n">
        <v>41377</v>
      </c>
      <c r="G36" t="n">
        <v>47970</v>
      </c>
      <c r="H36" t="n">
        <v>63081</v>
      </c>
      <c r="I36" t="n">
        <v>73398</v>
      </c>
      <c r="J36" t="n">
        <v>94953</v>
      </c>
      <c r="K36" t="n">
        <v>110317</v>
      </c>
      <c r="L36" t="n">
        <v>128561</v>
      </c>
      <c r="M36" t="n">
        <v>172804</v>
      </c>
      <c r="N36" t="n">
        <v>200820</v>
      </c>
      <c r="O36" t="n">
        <v>203848</v>
      </c>
      <c r="P36" t="n">
        <v>224299</v>
      </c>
      <c r="Q36" t="n">
        <v>267415</v>
      </c>
      <c r="R36" t="n">
        <v>311433</v>
      </c>
      <c r="S36" t="n">
        <v>295201</v>
      </c>
      <c r="T36" t="n">
        <v>309498</v>
      </c>
      <c r="U36" t="n">
        <v>353488</v>
      </c>
      <c r="V36" t="n">
        <v>345412</v>
      </c>
      <c r="W36" t="n">
        <v>351574</v>
      </c>
      <c r="X36" t="n">
        <v>341863</v>
      </c>
      <c r="Y36" t="n">
        <v>326046</v>
      </c>
      <c r="Z36" t="n">
        <v>288089</v>
      </c>
      <c r="AA36" t="n">
        <v>273594</v>
      </c>
      <c r="AB36" t="n">
        <v>333295</v>
      </c>
      <c r="AC36" t="n">
        <v>338831</v>
      </c>
      <c r="AD36" t="n">
        <v>353025</v>
      </c>
      <c r="AE36" t="n">
        <v>342113</v>
      </c>
      <c r="AF36" t="n">
        <v>400044</v>
      </c>
    </row>
    <row r="37">
      <c r="A37" t="s">
        <v>4</v>
      </c>
      <c r="B37" t="s">
        <v>231</v>
      </c>
      <c r="C37" t="s">
        <v>129</v>
      </c>
      <c r="D37" t="s">
        <v>232</v>
      </c>
      <c r="E37" t="s">
        <v>130</v>
      </c>
      <c r="F37" t="n">
        <v>99295</v>
      </c>
      <c r="G37" t="n">
        <v>152309</v>
      </c>
      <c r="H37" t="n">
        <v>213567</v>
      </c>
      <c r="I37" t="n">
        <v>266501</v>
      </c>
      <c r="J37" t="n">
        <v>323641</v>
      </c>
      <c r="K37" t="n">
        <v>337208</v>
      </c>
      <c r="L37" t="n">
        <v>359180</v>
      </c>
      <c r="M37" t="n">
        <v>407003</v>
      </c>
      <c r="N37" t="n">
        <v>463634</v>
      </c>
      <c r="O37" t="n">
        <v>490751</v>
      </c>
      <c r="P37" t="n">
        <v>536978</v>
      </c>
      <c r="Q37" t="n">
        <v>534241</v>
      </c>
      <c r="R37" t="n">
        <v>537707</v>
      </c>
      <c r="S37" t="n">
        <v>570940</v>
      </c>
      <c r="T37" t="n">
        <v>528746</v>
      </c>
      <c r="U37" t="n">
        <v>450109</v>
      </c>
      <c r="V37" t="n">
        <v>452150</v>
      </c>
      <c r="W37" t="n">
        <v>410778</v>
      </c>
      <c r="X37" t="n">
        <v>416447</v>
      </c>
      <c r="Y37" t="n">
        <v>442547</v>
      </c>
      <c r="Z37" t="n">
        <v>451188</v>
      </c>
      <c r="AA37" t="n">
        <v>460850</v>
      </c>
      <c r="AB37" t="n">
        <v>460908</v>
      </c>
      <c r="AC37" t="n">
        <v>502269</v>
      </c>
      <c r="AD37" t="n">
        <v>538824</v>
      </c>
      <c r="AE37" t="n">
        <v>567546</v>
      </c>
      <c r="AF37" t="n">
        <v>592636</v>
      </c>
    </row>
    <row r="38">
      <c r="A38" t="s">
        <v>4</v>
      </c>
      <c r="B38" t="s">
        <v>233</v>
      </c>
      <c r="C38" t="s">
        <v>129</v>
      </c>
      <c r="D38" t="s">
        <v>234</v>
      </c>
      <c r="E38" t="s">
        <v>130</v>
      </c>
      <c r="F38" t="n">
        <v>27746</v>
      </c>
      <c r="G38" t="n">
        <v>39897</v>
      </c>
      <c r="H38" t="n">
        <v>56016</v>
      </c>
      <c r="I38" t="n">
        <v>81030</v>
      </c>
      <c r="J38" t="n">
        <v>105984</v>
      </c>
      <c r="K38" t="n">
        <v>127986</v>
      </c>
      <c r="L38" t="n">
        <v>158979</v>
      </c>
      <c r="M38" t="n">
        <v>186856</v>
      </c>
      <c r="N38" t="n">
        <v>202996</v>
      </c>
      <c r="O38" t="n">
        <v>218376</v>
      </c>
      <c r="P38" t="n">
        <v>239770</v>
      </c>
      <c r="Q38" t="n">
        <v>288795</v>
      </c>
      <c r="R38" t="n">
        <v>337002</v>
      </c>
      <c r="S38" t="n">
        <v>381402</v>
      </c>
      <c r="T38" t="n">
        <v>424494</v>
      </c>
      <c r="U38" t="n">
        <v>437659</v>
      </c>
      <c r="V38" t="n">
        <v>482260</v>
      </c>
      <c r="W38" t="n">
        <v>530100</v>
      </c>
      <c r="X38" t="n">
        <v>587479</v>
      </c>
      <c r="Y38" t="n">
        <v>659642</v>
      </c>
      <c r="Z38" t="n">
        <v>691106</v>
      </c>
      <c r="AA38" t="n">
        <v>763791</v>
      </c>
      <c r="AB38" t="n">
        <v>829979</v>
      </c>
      <c r="AC38" t="n">
        <v>959712</v>
      </c>
      <c r="AD38" t="n">
        <v>1103490</v>
      </c>
      <c r="AE38" t="n">
        <v>1225772</v>
      </c>
      <c r="AF38" t="n">
        <v>1517728</v>
      </c>
    </row>
    <row r="39">
      <c r="A39" t="s">
        <v>4</v>
      </c>
      <c r="B39" t="s">
        <v>235</v>
      </c>
      <c r="C39" t="s">
        <v>129</v>
      </c>
      <c r="D39" t="s">
        <v>236</v>
      </c>
      <c r="E39" t="s">
        <v>130</v>
      </c>
      <c r="F39" t="n">
        <v>241825</v>
      </c>
      <c r="G39" t="n">
        <v>314514</v>
      </c>
      <c r="H39" t="n">
        <v>309066</v>
      </c>
      <c r="I39" t="n">
        <v>361756</v>
      </c>
      <c r="J39" t="n">
        <v>349964</v>
      </c>
      <c r="K39" t="n">
        <v>399273</v>
      </c>
      <c r="L39" t="n">
        <v>455668</v>
      </c>
      <c r="M39" t="n">
        <v>542500</v>
      </c>
      <c r="N39" t="n">
        <v>613297</v>
      </c>
      <c r="O39" t="n">
        <v>687601</v>
      </c>
      <c r="P39" t="n">
        <v>822537</v>
      </c>
      <c r="Q39" t="n">
        <v>989140</v>
      </c>
      <c r="R39" t="n">
        <v>998930</v>
      </c>
      <c r="S39" t="n">
        <v>1020658</v>
      </c>
      <c r="T39" t="n">
        <v>1102378</v>
      </c>
      <c r="U39" t="n">
        <v>1125905</v>
      </c>
      <c r="V39" t="n">
        <v>1146121</v>
      </c>
      <c r="W39" t="n">
        <v>1129547</v>
      </c>
      <c r="X39" t="n">
        <v>1072934</v>
      </c>
      <c r="Y39" t="n">
        <v>1122692</v>
      </c>
      <c r="Z39" t="n">
        <v>1103610</v>
      </c>
      <c r="AA39" t="n">
        <v>1122561</v>
      </c>
      <c r="AB39" t="n">
        <v>1229050</v>
      </c>
      <c r="AC39" t="n">
        <v>1360838</v>
      </c>
      <c r="AD39" t="n">
        <v>1600084</v>
      </c>
      <c r="AE39" t="n">
        <v>1682103</v>
      </c>
      <c r="AF39" t="n">
        <v>1916169</v>
      </c>
    </row>
    <row r="40">
      <c r="A40" t="s">
        <v>4</v>
      </c>
      <c r="B40" t="s">
        <v>237</v>
      </c>
      <c r="C40" t="s">
        <v>129</v>
      </c>
      <c r="D40" t="s">
        <v>238</v>
      </c>
      <c r="E40" t="s">
        <v>130</v>
      </c>
      <c r="F40" t="n">
        <v>351402</v>
      </c>
      <c r="G40" t="n">
        <v>462674</v>
      </c>
      <c r="H40" t="n">
        <v>595604</v>
      </c>
      <c r="I40" t="n">
        <v>698227</v>
      </c>
      <c r="J40" t="n">
        <v>834111</v>
      </c>
      <c r="K40" t="n">
        <v>979020</v>
      </c>
      <c r="L40" t="n">
        <v>1115965</v>
      </c>
      <c r="M40" t="n">
        <v>1226248</v>
      </c>
      <c r="N40" t="n">
        <v>1338183</v>
      </c>
      <c r="O40" t="n">
        <v>1413259</v>
      </c>
      <c r="P40" t="n">
        <v>1534488</v>
      </c>
      <c r="Q40" t="n">
        <v>1660223</v>
      </c>
      <c r="R40" t="n">
        <v>1785831</v>
      </c>
      <c r="S40" t="n">
        <v>1924703</v>
      </c>
      <c r="T40" t="n">
        <v>2010216</v>
      </c>
      <c r="U40" t="n">
        <v>2253682</v>
      </c>
      <c r="V40" t="n">
        <v>2275509</v>
      </c>
      <c r="W40" t="n">
        <v>2220897</v>
      </c>
      <c r="X40" t="n">
        <v>2275047</v>
      </c>
      <c r="Y40" t="n">
        <v>2349427</v>
      </c>
      <c r="Z40" t="n">
        <v>2477795</v>
      </c>
      <c r="AA40" t="n">
        <v>2735539</v>
      </c>
      <c r="AB40" t="n">
        <v>3024494</v>
      </c>
      <c r="AC40" t="n">
        <v>3476746</v>
      </c>
      <c r="AD40" t="n">
        <v>4073292</v>
      </c>
      <c r="AE40" t="n">
        <v>4299815</v>
      </c>
      <c r="AF40" t="n">
        <v>4951714</v>
      </c>
    </row>
    <row r="41">
      <c r="A41" t="s">
        <v>4</v>
      </c>
      <c r="B41" t="s">
        <v>239</v>
      </c>
      <c r="C41" t="s">
        <v>129</v>
      </c>
      <c r="D41" t="s">
        <v>240</v>
      </c>
      <c r="E41" t="s">
        <v>130</v>
      </c>
      <c r="F41" t="n">
        <v>293845</v>
      </c>
      <c r="G41" t="n">
        <v>382338</v>
      </c>
      <c r="H41" t="n">
        <v>474214</v>
      </c>
      <c r="I41" t="n">
        <v>532980</v>
      </c>
      <c r="J41" t="n">
        <v>630472</v>
      </c>
      <c r="K41" t="n">
        <v>711376</v>
      </c>
      <c r="L41" t="n">
        <v>794877</v>
      </c>
      <c r="M41" t="n">
        <v>850037</v>
      </c>
      <c r="N41" t="n">
        <v>912142</v>
      </c>
      <c r="O41" t="n">
        <v>974966</v>
      </c>
      <c r="P41" t="n">
        <v>1039955</v>
      </c>
      <c r="Q41" t="n">
        <v>1132452</v>
      </c>
      <c r="R41" t="n">
        <v>1221373</v>
      </c>
      <c r="S41" t="n">
        <v>1312173</v>
      </c>
      <c r="T41" t="n">
        <v>1366190</v>
      </c>
      <c r="U41" t="n">
        <v>1561759</v>
      </c>
      <c r="V41" t="n">
        <v>1565827</v>
      </c>
      <c r="W41" t="n">
        <v>1537873</v>
      </c>
      <c r="X41" t="n">
        <v>1516351</v>
      </c>
      <c r="Y41" t="n">
        <v>1556124</v>
      </c>
      <c r="Z41" t="n">
        <v>1690028</v>
      </c>
      <c r="AA41" t="n">
        <v>1856985</v>
      </c>
      <c r="AB41" t="n">
        <v>2067753</v>
      </c>
      <c r="AC41" t="n">
        <v>2385307</v>
      </c>
      <c r="AD41" t="n">
        <v>2808649</v>
      </c>
      <c r="AE41" t="n">
        <v>3012463</v>
      </c>
      <c r="AF41" t="n">
        <v>3480444</v>
      </c>
    </row>
    <row r="42">
      <c r="A42" t="s">
        <v>4</v>
      </c>
      <c r="B42" t="s">
        <v>241</v>
      </c>
      <c r="C42" t="s">
        <v>129</v>
      </c>
      <c r="D42" t="s">
        <v>242</v>
      </c>
      <c r="E42" t="s">
        <v>130</v>
      </c>
      <c r="F42" t="n">
        <v>178838</v>
      </c>
      <c r="G42" t="n">
        <v>245714</v>
      </c>
      <c r="H42" t="n">
        <v>316001</v>
      </c>
      <c r="I42" t="n">
        <v>371350</v>
      </c>
      <c r="J42" t="n">
        <v>420672</v>
      </c>
      <c r="K42" t="n">
        <v>503766</v>
      </c>
      <c r="L42" t="n">
        <v>652555</v>
      </c>
      <c r="M42" t="n">
        <v>754875</v>
      </c>
      <c r="N42" t="n">
        <v>831073</v>
      </c>
      <c r="O42" t="n">
        <v>896035</v>
      </c>
      <c r="P42" t="n">
        <v>978085</v>
      </c>
      <c r="Q42" t="n">
        <v>1097178</v>
      </c>
      <c r="R42" t="n">
        <v>1108840</v>
      </c>
      <c r="S42" t="n">
        <v>1257521</v>
      </c>
      <c r="T42" t="n">
        <v>1247269</v>
      </c>
      <c r="U42" t="n">
        <v>1332061</v>
      </c>
      <c r="V42" t="n">
        <v>1360018</v>
      </c>
      <c r="W42" t="n">
        <v>1353823</v>
      </c>
      <c r="X42" t="n">
        <v>1446846</v>
      </c>
      <c r="Y42" t="n">
        <v>1531356</v>
      </c>
      <c r="Z42" t="n">
        <v>1672454</v>
      </c>
      <c r="AA42" t="n">
        <v>1802189</v>
      </c>
      <c r="AB42" t="n">
        <v>2011036</v>
      </c>
      <c r="AC42" t="n">
        <v>2268731</v>
      </c>
      <c r="AD42" t="n">
        <v>2540851</v>
      </c>
      <c r="AE42" t="n">
        <v>2658595</v>
      </c>
      <c r="AF42" t="n">
        <v>3050100</v>
      </c>
    </row>
    <row r="43">
      <c r="A43" t="s">
        <v>4</v>
      </c>
      <c r="B43" t="s">
        <v>243</v>
      </c>
      <c r="C43" t="s">
        <v>129</v>
      </c>
      <c r="D43" t="s">
        <v>244</v>
      </c>
      <c r="E43" t="s">
        <v>130</v>
      </c>
      <c r="F43" t="n">
        <v>289685</v>
      </c>
      <c r="G43" t="n">
        <v>395806</v>
      </c>
      <c r="H43" t="n">
        <v>488549</v>
      </c>
      <c r="I43" t="n">
        <v>572416</v>
      </c>
      <c r="J43" t="n">
        <v>662771</v>
      </c>
      <c r="K43" t="n">
        <v>799485</v>
      </c>
      <c r="L43" t="n">
        <v>1018342</v>
      </c>
      <c r="M43" t="n">
        <v>1196487</v>
      </c>
      <c r="N43" t="n">
        <v>1319550</v>
      </c>
      <c r="O43" t="n">
        <v>1440158</v>
      </c>
      <c r="P43" t="n">
        <v>1587555</v>
      </c>
      <c r="Q43" t="n">
        <v>1764729</v>
      </c>
      <c r="R43" t="n">
        <v>1794907</v>
      </c>
      <c r="S43" t="n">
        <v>2009759</v>
      </c>
      <c r="T43" t="n">
        <v>1993266</v>
      </c>
      <c r="U43" t="n">
        <v>2080706</v>
      </c>
      <c r="V43" t="n">
        <v>2183691</v>
      </c>
      <c r="W43" t="n">
        <v>2173241</v>
      </c>
      <c r="X43" t="n">
        <v>2306782</v>
      </c>
      <c r="Y43" t="n">
        <v>2458091</v>
      </c>
      <c r="Z43" t="n">
        <v>2683757</v>
      </c>
      <c r="AA43" t="n">
        <v>2888990</v>
      </c>
      <c r="AB43" t="n">
        <v>3305022</v>
      </c>
      <c r="AC43" t="n">
        <v>3687155</v>
      </c>
      <c r="AD43" t="n">
        <v>4119187</v>
      </c>
      <c r="AE43" t="n">
        <v>4059850</v>
      </c>
      <c r="AF43" t="n">
        <v>4810513</v>
      </c>
    </row>
    <row r="44">
      <c r="A44" t="s">
        <v>4</v>
      </c>
      <c r="B44" t="s">
        <v>245</v>
      </c>
      <c r="C44" t="s">
        <v>129</v>
      </c>
      <c r="D44" t="s">
        <v>246</v>
      </c>
      <c r="E44" t="s">
        <v>130</v>
      </c>
      <c r="F44" t="n">
        <v>3680665</v>
      </c>
      <c r="G44" t="n">
        <v>4549257</v>
      </c>
      <c r="H44" t="n">
        <v>5759751</v>
      </c>
      <c r="I44" t="n">
        <v>6806437</v>
      </c>
      <c r="J44" t="n">
        <v>7427112</v>
      </c>
      <c r="K44" t="n">
        <v>8398348</v>
      </c>
      <c r="L44" t="n">
        <v>9885357</v>
      </c>
      <c r="M44" t="n">
        <v>11164612</v>
      </c>
      <c r="N44" t="n">
        <v>11894380</v>
      </c>
      <c r="O44" t="n">
        <v>13271810</v>
      </c>
      <c r="P44" t="n">
        <v>14323846</v>
      </c>
      <c r="Q44" t="n">
        <v>15671009</v>
      </c>
      <c r="R44" t="n">
        <v>16474249</v>
      </c>
      <c r="S44" t="n">
        <v>17290673</v>
      </c>
      <c r="T44" t="n">
        <v>16449763</v>
      </c>
      <c r="U44" t="n">
        <v>16972651</v>
      </c>
      <c r="V44" t="n">
        <v>17926648</v>
      </c>
      <c r="W44" t="n">
        <v>17981864</v>
      </c>
      <c r="X44" t="n">
        <v>18994338</v>
      </c>
      <c r="Y44" t="n">
        <v>20723613</v>
      </c>
      <c r="Z44" t="n">
        <v>22044212</v>
      </c>
      <c r="AA44" t="n">
        <v>22700904</v>
      </c>
      <c r="AB44" t="n">
        <v>24586679</v>
      </c>
      <c r="AC44" t="n">
        <v>27118204</v>
      </c>
      <c r="AD44" t="n">
        <v>29705390</v>
      </c>
      <c r="AE44" t="n">
        <v>29802196</v>
      </c>
      <c r="AF44" t="n">
        <v>34200767</v>
      </c>
    </row>
    <row r="45">
      <c r="A45" t="s">
        <v>4</v>
      </c>
      <c r="B45" t="s">
        <v>247</v>
      </c>
      <c r="C45" t="s">
        <v>129</v>
      </c>
      <c r="D45" t="s">
        <v>248</v>
      </c>
      <c r="E45" t="s">
        <v>130</v>
      </c>
      <c r="F45" t="n">
        <v>3254368</v>
      </c>
      <c r="G45" t="n">
        <v>4020790</v>
      </c>
      <c r="H45" t="n">
        <v>5184463</v>
      </c>
      <c r="I45" t="n">
        <v>6160701</v>
      </c>
      <c r="J45" t="n">
        <v>6792255</v>
      </c>
      <c r="K45" t="n">
        <v>7722562</v>
      </c>
      <c r="L45" t="n">
        <v>9110165</v>
      </c>
      <c r="M45" t="n">
        <v>10402476</v>
      </c>
      <c r="N45" t="n">
        <v>11147938</v>
      </c>
      <c r="O45" t="n">
        <v>12353011</v>
      </c>
      <c r="P45" t="n">
        <v>13482991</v>
      </c>
      <c r="Q45" t="n">
        <v>14810317</v>
      </c>
      <c r="R45" t="n">
        <v>15576812</v>
      </c>
      <c r="S45" t="n">
        <v>16343462</v>
      </c>
      <c r="T45" t="n">
        <v>15656979</v>
      </c>
      <c r="U45" t="n">
        <v>16147874</v>
      </c>
      <c r="V45" t="n">
        <v>16794652</v>
      </c>
      <c r="W45" t="n">
        <v>16857339</v>
      </c>
      <c r="X45" t="n">
        <v>17804109</v>
      </c>
      <c r="Y45" t="n">
        <v>19428499</v>
      </c>
      <c r="Z45" t="n">
        <v>20728311</v>
      </c>
      <c r="AA45" t="n">
        <v>21296460</v>
      </c>
      <c r="AB45" t="n">
        <v>23111996</v>
      </c>
      <c r="AC45" t="n">
        <v>25606172</v>
      </c>
      <c r="AD45" t="n">
        <v>28111344</v>
      </c>
      <c r="AE45" t="n">
        <v>28161012</v>
      </c>
      <c r="AF45" t="n">
        <v>32279725</v>
      </c>
    </row>
    <row r="46">
      <c r="A46" t="s">
        <v>4</v>
      </c>
      <c r="B46" t="s">
        <v>249</v>
      </c>
      <c r="C46" t="s">
        <v>129</v>
      </c>
      <c r="D46" t="s">
        <v>250</v>
      </c>
      <c r="E46" t="s">
        <v>130</v>
      </c>
      <c r="F46" t="n">
        <v>110847</v>
      </c>
      <c r="G46" t="n">
        <v>150092</v>
      </c>
      <c r="H46" t="n">
        <v>172548</v>
      </c>
      <c r="I46" t="n">
        <v>201066</v>
      </c>
      <c r="J46" t="n">
        <v>242099</v>
      </c>
      <c r="K46" t="n">
        <v>295719</v>
      </c>
      <c r="L46" t="n">
        <v>365787</v>
      </c>
      <c r="M46" t="n">
        <v>441612</v>
      </c>
      <c r="N46" t="n">
        <v>488477</v>
      </c>
      <c r="O46" t="n">
        <v>544123</v>
      </c>
      <c r="P46" t="n">
        <v>609470</v>
      </c>
      <c r="Q46" t="n">
        <v>667551</v>
      </c>
      <c r="R46" t="n">
        <v>686067</v>
      </c>
      <c r="S46" t="n">
        <v>752238</v>
      </c>
      <c r="T46" t="n">
        <v>745997</v>
      </c>
      <c r="U46" t="n">
        <v>748645</v>
      </c>
      <c r="V46" t="n">
        <v>823673</v>
      </c>
      <c r="W46" t="n">
        <v>819418</v>
      </c>
      <c r="X46" t="n">
        <v>859936</v>
      </c>
      <c r="Y46" t="n">
        <v>926735</v>
      </c>
      <c r="Z46" t="n">
        <v>1011303</v>
      </c>
      <c r="AA46" t="n">
        <v>1086801</v>
      </c>
      <c r="AB46" t="n">
        <v>1293986</v>
      </c>
      <c r="AC46" t="n">
        <v>1418424</v>
      </c>
      <c r="AD46" t="n">
        <v>1578336</v>
      </c>
      <c r="AE46" t="n">
        <v>1401255</v>
      </c>
      <c r="AF46" t="n">
        <v>1760413</v>
      </c>
    </row>
    <row r="47">
      <c r="A47" t="s">
        <v>4</v>
      </c>
      <c r="B47" t="s">
        <v>251</v>
      </c>
      <c r="C47" t="s">
        <v>129</v>
      </c>
      <c r="D47" t="s">
        <v>252</v>
      </c>
      <c r="E47" t="s">
        <v>130</v>
      </c>
      <c r="F47" t="n">
        <v>426843</v>
      </c>
      <c r="G47" t="n">
        <v>503282</v>
      </c>
      <c r="H47" t="n">
        <v>609570</v>
      </c>
      <c r="I47" t="n">
        <v>730988</v>
      </c>
      <c r="J47" t="n">
        <v>854525</v>
      </c>
      <c r="K47" t="n">
        <v>976119</v>
      </c>
      <c r="L47" t="n">
        <v>1148007</v>
      </c>
      <c r="M47" t="n">
        <v>1337769</v>
      </c>
      <c r="N47" t="n">
        <v>1467953</v>
      </c>
      <c r="O47" t="n">
        <v>1565041</v>
      </c>
      <c r="P47" t="n">
        <v>1658741</v>
      </c>
      <c r="Q47" t="n">
        <v>1781508</v>
      </c>
      <c r="R47" t="n">
        <v>1868257</v>
      </c>
      <c r="S47" t="n">
        <v>2022539</v>
      </c>
      <c r="T47" t="n">
        <v>2008508</v>
      </c>
      <c r="U47" t="n">
        <v>2033097</v>
      </c>
      <c r="V47" t="n">
        <v>2008480</v>
      </c>
      <c r="W47" t="n">
        <v>1970661</v>
      </c>
      <c r="X47" t="n">
        <v>2150280</v>
      </c>
      <c r="Y47" t="n">
        <v>2232073</v>
      </c>
      <c r="Z47" t="n">
        <v>2360133</v>
      </c>
      <c r="AA47" t="n">
        <v>2559295</v>
      </c>
      <c r="AB47" t="n">
        <v>2725961</v>
      </c>
      <c r="AC47" t="n">
        <v>2895535</v>
      </c>
      <c r="AD47" t="n">
        <v>3166194</v>
      </c>
      <c r="AE47" t="n">
        <v>3304940</v>
      </c>
      <c r="AF47" t="n">
        <v>3587253</v>
      </c>
    </row>
    <row r="48">
      <c r="A48" t="s">
        <v>4</v>
      </c>
      <c r="B48" t="s">
        <v>253</v>
      </c>
      <c r="C48" t="s">
        <v>129</v>
      </c>
      <c r="D48" t="s">
        <v>254</v>
      </c>
      <c r="E48" t="s">
        <v>130</v>
      </c>
      <c r="F48" t="n">
        <v>929051</v>
      </c>
      <c r="G48" t="n">
        <v>1090124</v>
      </c>
      <c r="H48" t="n">
        <v>1292202</v>
      </c>
      <c r="I48" t="n">
        <v>1519990</v>
      </c>
      <c r="J48" t="n">
        <v>1741930</v>
      </c>
      <c r="K48" t="n">
        <v>1994352</v>
      </c>
      <c r="L48" t="n">
        <v>2317931</v>
      </c>
      <c r="M48" t="n">
        <v>2747333</v>
      </c>
      <c r="N48" t="n">
        <v>3185176</v>
      </c>
      <c r="O48" t="n">
        <v>3361385</v>
      </c>
      <c r="P48" t="n">
        <v>3589209</v>
      </c>
      <c r="Q48" t="n">
        <v>3782251</v>
      </c>
      <c r="R48" t="n">
        <v>3867091</v>
      </c>
      <c r="S48" t="n">
        <v>4110938</v>
      </c>
      <c r="T48" t="n">
        <v>4032884</v>
      </c>
      <c r="U48" t="n">
        <v>4045393</v>
      </c>
      <c r="V48" t="n">
        <v>4033254</v>
      </c>
      <c r="W48" t="n">
        <v>4125396</v>
      </c>
      <c r="X48" t="n">
        <v>4350300</v>
      </c>
      <c r="Y48" t="n">
        <v>4663851</v>
      </c>
      <c r="Z48" t="n">
        <v>4951574</v>
      </c>
      <c r="AA48" t="n">
        <v>5376724</v>
      </c>
      <c r="AB48" t="n">
        <v>5752540</v>
      </c>
      <c r="AC48" t="n">
        <v>6202602</v>
      </c>
      <c r="AD48" t="n">
        <v>6745736</v>
      </c>
      <c r="AE48" t="n">
        <v>7138561</v>
      </c>
      <c r="AF48" t="n">
        <v>7907622</v>
      </c>
    </row>
    <row r="49">
      <c r="A49" t="s">
        <v>4</v>
      </c>
      <c r="B49" t="s">
        <v>255</v>
      </c>
      <c r="C49" t="s">
        <v>129</v>
      </c>
      <c r="D49" t="s">
        <v>256</v>
      </c>
      <c r="E49" t="s">
        <v>130</v>
      </c>
      <c r="F49" t="n">
        <v>277180</v>
      </c>
      <c r="G49" t="n">
        <v>312639</v>
      </c>
      <c r="H49" t="n">
        <v>371081</v>
      </c>
      <c r="I49" t="n">
        <v>429046</v>
      </c>
      <c r="J49" t="n">
        <v>489476</v>
      </c>
      <c r="K49" t="n">
        <v>550616</v>
      </c>
      <c r="L49" t="n">
        <v>641906</v>
      </c>
      <c r="M49" t="n">
        <v>773426</v>
      </c>
      <c r="N49" t="n">
        <v>939678</v>
      </c>
      <c r="O49" t="n">
        <v>969913</v>
      </c>
      <c r="P49" t="n">
        <v>1048152</v>
      </c>
      <c r="Q49" t="n">
        <v>1096118</v>
      </c>
      <c r="R49" t="n">
        <v>1089734</v>
      </c>
      <c r="S49" t="n">
        <v>1136466</v>
      </c>
      <c r="T49" t="n">
        <v>1089103</v>
      </c>
      <c r="U49" t="n">
        <v>1086449</v>
      </c>
      <c r="V49" t="n">
        <v>1065473</v>
      </c>
      <c r="W49" t="n">
        <v>1083282</v>
      </c>
      <c r="X49" t="n">
        <v>1040622</v>
      </c>
      <c r="Y49" t="n">
        <v>1229800</v>
      </c>
      <c r="Z49" t="n">
        <v>1338684</v>
      </c>
      <c r="AA49" t="n">
        <v>1457742</v>
      </c>
      <c r="AB49" t="n">
        <v>1525917</v>
      </c>
      <c r="AC49" t="n">
        <v>1638807</v>
      </c>
      <c r="AD49" t="n">
        <v>1776375</v>
      </c>
      <c r="AE49" t="n">
        <v>1849984</v>
      </c>
      <c r="AF49" t="n">
        <v>2000112</v>
      </c>
    </row>
    <row r="50">
      <c r="A50" t="s">
        <v>4</v>
      </c>
      <c r="B50" t="s">
        <v>257</v>
      </c>
      <c r="C50" t="s">
        <v>129</v>
      </c>
      <c r="D50" t="s">
        <v>258</v>
      </c>
      <c r="E50" t="s">
        <v>130</v>
      </c>
      <c r="F50" t="n">
        <v>225028</v>
      </c>
      <c r="G50" t="n">
        <v>274203</v>
      </c>
      <c r="H50" t="n">
        <v>311551</v>
      </c>
      <c r="I50" t="n">
        <v>359956</v>
      </c>
      <c r="J50" t="n">
        <v>397929</v>
      </c>
      <c r="K50" t="n">
        <v>467617</v>
      </c>
      <c r="L50" t="n">
        <v>528018</v>
      </c>
      <c r="M50" t="n">
        <v>636138</v>
      </c>
      <c r="N50" t="n">
        <v>777545</v>
      </c>
      <c r="O50" t="n">
        <v>826431</v>
      </c>
      <c r="P50" t="n">
        <v>882316</v>
      </c>
      <c r="Q50" t="n">
        <v>904625</v>
      </c>
      <c r="R50" t="n">
        <v>909100</v>
      </c>
      <c r="S50" t="n">
        <v>951933</v>
      </c>
      <c r="T50" t="n">
        <v>935273</v>
      </c>
      <c r="U50" t="n">
        <v>925847</v>
      </c>
      <c r="V50" t="n">
        <v>959301</v>
      </c>
      <c r="W50" t="n">
        <v>1071453</v>
      </c>
      <c r="X50" t="n">
        <v>1159398</v>
      </c>
      <c r="Y50" t="n">
        <v>1201978</v>
      </c>
      <c r="Z50" t="n">
        <v>1252757</v>
      </c>
      <c r="AA50" t="n">
        <v>1359687</v>
      </c>
      <c r="AB50" t="n">
        <v>1500662</v>
      </c>
      <c r="AC50" t="n">
        <v>1668260</v>
      </c>
      <c r="AD50" t="n">
        <v>1803167</v>
      </c>
      <c r="AE50" t="n">
        <v>1983637</v>
      </c>
      <c r="AF50" t="n">
        <v>2320257</v>
      </c>
    </row>
    <row r="51">
      <c r="A51" t="s">
        <v>4</v>
      </c>
      <c r="B51" t="s">
        <v>259</v>
      </c>
      <c r="C51" t="s">
        <v>129</v>
      </c>
      <c r="D51" t="s">
        <v>260</v>
      </c>
      <c r="E51" t="s">
        <v>130</v>
      </c>
      <c r="F51" t="n">
        <v>175040</v>
      </c>
      <c r="G51" t="n">
        <v>217409</v>
      </c>
      <c r="H51" t="n">
        <v>245444</v>
      </c>
      <c r="I51" t="n">
        <v>283452</v>
      </c>
      <c r="J51" t="n">
        <v>315503</v>
      </c>
      <c r="K51" t="n">
        <v>374563</v>
      </c>
      <c r="L51" t="n">
        <v>417295</v>
      </c>
      <c r="M51" t="n">
        <v>501346</v>
      </c>
      <c r="N51" t="n">
        <v>606082</v>
      </c>
      <c r="O51" t="n">
        <v>636626</v>
      </c>
      <c r="P51" t="n">
        <v>675153</v>
      </c>
      <c r="Q51" t="n">
        <v>685499</v>
      </c>
      <c r="R51" t="n">
        <v>682248</v>
      </c>
      <c r="S51" t="n">
        <v>719649</v>
      </c>
      <c r="T51" t="n">
        <v>701113</v>
      </c>
      <c r="U51" t="n">
        <v>700250</v>
      </c>
      <c r="V51" t="n">
        <v>737929</v>
      </c>
      <c r="W51" t="n">
        <v>842911</v>
      </c>
      <c r="X51" t="n">
        <v>913947</v>
      </c>
      <c r="Y51" t="n">
        <v>931468</v>
      </c>
      <c r="Z51" t="n">
        <v>966171</v>
      </c>
      <c r="AA51" t="n">
        <v>1062236</v>
      </c>
      <c r="AB51" t="n">
        <v>1156593</v>
      </c>
      <c r="AC51" t="n">
        <v>1286617</v>
      </c>
      <c r="AD51" t="n">
        <v>1382664</v>
      </c>
      <c r="AE51" t="n">
        <v>1518869</v>
      </c>
      <c r="AF51" t="n">
        <v>1830504</v>
      </c>
    </row>
    <row r="52">
      <c r="A52" t="s">
        <v>4</v>
      </c>
      <c r="B52" t="s">
        <v>261</v>
      </c>
      <c r="C52" t="s">
        <v>129</v>
      </c>
      <c r="D52" t="s">
        <v>262</v>
      </c>
      <c r="E52" t="s">
        <v>130</v>
      </c>
      <c r="F52" t="n">
        <v>49988</v>
      </c>
      <c r="G52" t="n">
        <v>56794</v>
      </c>
      <c r="H52" t="n">
        <v>66107</v>
      </c>
      <c r="I52" t="n">
        <v>76504</v>
      </c>
      <c r="J52" t="n">
        <v>82426</v>
      </c>
      <c r="K52" t="n">
        <v>93054</v>
      </c>
      <c r="L52" t="n">
        <v>110723</v>
      </c>
      <c r="M52" t="n">
        <v>134792</v>
      </c>
      <c r="N52" t="n">
        <v>171463</v>
      </c>
      <c r="O52" t="n">
        <v>189805</v>
      </c>
      <c r="P52" t="n">
        <v>207163</v>
      </c>
      <c r="Q52" t="n">
        <v>219126</v>
      </c>
      <c r="R52" t="n">
        <v>226852</v>
      </c>
      <c r="S52" t="n">
        <v>232284</v>
      </c>
      <c r="T52" t="n">
        <v>234160</v>
      </c>
      <c r="U52" t="n">
        <v>225597</v>
      </c>
      <c r="V52" t="n">
        <v>221372</v>
      </c>
      <c r="W52" t="n">
        <v>228542</v>
      </c>
      <c r="X52" t="n">
        <v>245451</v>
      </c>
      <c r="Y52" t="n">
        <v>270510</v>
      </c>
      <c r="Z52" t="n">
        <v>286586</v>
      </c>
      <c r="AA52" t="n">
        <v>297451</v>
      </c>
      <c r="AB52" t="n">
        <v>344069</v>
      </c>
      <c r="AC52" t="n">
        <v>381643</v>
      </c>
      <c r="AD52" t="n">
        <v>420503</v>
      </c>
      <c r="AE52" t="n">
        <v>464768</v>
      </c>
      <c r="AF52" t="n">
        <v>489753</v>
      </c>
    </row>
    <row r="53">
      <c r="A53" t="s">
        <v>4</v>
      </c>
      <c r="B53" t="s">
        <v>263</v>
      </c>
      <c r="C53" t="s">
        <v>129</v>
      </c>
      <c r="D53" t="s">
        <v>264</v>
      </c>
      <c r="E53" t="s">
        <v>130</v>
      </c>
      <c r="F53" t="n">
        <v>81361</v>
      </c>
      <c r="G53" t="n">
        <v>89005</v>
      </c>
      <c r="H53" t="n">
        <v>87057</v>
      </c>
      <c r="I53" t="n">
        <v>97726</v>
      </c>
      <c r="J53" t="n">
        <v>124496</v>
      </c>
      <c r="K53" t="n">
        <v>142442</v>
      </c>
      <c r="L53" t="n">
        <v>176613</v>
      </c>
      <c r="M53" t="n">
        <v>227833</v>
      </c>
      <c r="N53" t="n">
        <v>209988</v>
      </c>
      <c r="O53" t="n">
        <v>210606</v>
      </c>
      <c r="P53" t="n">
        <v>230482</v>
      </c>
      <c r="Q53" t="n">
        <v>240910</v>
      </c>
      <c r="R53" t="n">
        <v>257792</v>
      </c>
      <c r="S53" t="n">
        <v>283548</v>
      </c>
      <c r="T53" t="n">
        <v>247431</v>
      </c>
      <c r="U53" t="n">
        <v>277745</v>
      </c>
      <c r="V53" t="n">
        <v>278695</v>
      </c>
      <c r="W53" t="n">
        <v>275651</v>
      </c>
      <c r="X53" t="n">
        <v>304843</v>
      </c>
      <c r="Y53" t="n">
        <v>332785</v>
      </c>
      <c r="Z53" t="n">
        <v>369276</v>
      </c>
      <c r="AA53" t="n">
        <v>399052</v>
      </c>
      <c r="AB53" t="n">
        <v>482949</v>
      </c>
      <c r="AC53" t="n">
        <v>532298</v>
      </c>
      <c r="AD53" t="n">
        <v>593181</v>
      </c>
      <c r="AE53" t="n">
        <v>547670</v>
      </c>
      <c r="AF53" t="n">
        <v>681956</v>
      </c>
    </row>
    <row r="54">
      <c r="A54" t="s">
        <v>4</v>
      </c>
      <c r="B54" t="s">
        <v>265</v>
      </c>
      <c r="C54" t="s">
        <v>129</v>
      </c>
      <c r="D54" t="s">
        <v>266</v>
      </c>
      <c r="E54" t="s">
        <v>130</v>
      </c>
      <c r="F54" t="n">
        <v>203498</v>
      </c>
      <c r="G54" t="n">
        <v>224107</v>
      </c>
      <c r="H54" t="n">
        <v>246629</v>
      </c>
      <c r="I54" t="n">
        <v>271188</v>
      </c>
      <c r="J54" t="n">
        <v>320304</v>
      </c>
      <c r="K54" t="n">
        <v>349003</v>
      </c>
      <c r="L54" t="n">
        <v>423024</v>
      </c>
      <c r="M54" t="n">
        <v>496089</v>
      </c>
      <c r="N54" t="n">
        <v>489675</v>
      </c>
      <c r="O54" t="n">
        <v>512810</v>
      </c>
      <c r="P54" t="n">
        <v>562039</v>
      </c>
      <c r="Q54" t="n">
        <v>592105</v>
      </c>
      <c r="R54" t="n">
        <v>637786</v>
      </c>
      <c r="S54" t="n">
        <v>692282</v>
      </c>
      <c r="T54" t="n">
        <v>666065</v>
      </c>
      <c r="U54" t="n">
        <v>675795</v>
      </c>
      <c r="V54" t="n">
        <v>678389</v>
      </c>
      <c r="W54" t="n">
        <v>674941</v>
      </c>
      <c r="X54" t="n">
        <v>726488</v>
      </c>
      <c r="Y54" t="n">
        <v>766503</v>
      </c>
      <c r="Z54" t="n">
        <v>823303</v>
      </c>
      <c r="AA54" t="n">
        <v>866413</v>
      </c>
      <c r="AB54" t="n">
        <v>972106</v>
      </c>
      <c r="AC54" t="n">
        <v>1052809</v>
      </c>
      <c r="AD54" t="n">
        <v>1183780</v>
      </c>
      <c r="AE54" t="n">
        <v>1054652</v>
      </c>
      <c r="AF54" t="n">
        <v>1260278</v>
      </c>
    </row>
    <row r="55">
      <c r="A55" t="s">
        <v>4</v>
      </c>
      <c r="B55" t="s">
        <v>267</v>
      </c>
      <c r="C55" t="s">
        <v>129</v>
      </c>
      <c r="D55" t="s">
        <v>268</v>
      </c>
      <c r="E55" t="s">
        <v>130</v>
      </c>
      <c r="F55" t="n">
        <v>122137</v>
      </c>
      <c r="G55" t="n">
        <v>135102</v>
      </c>
      <c r="H55" t="n">
        <v>159572</v>
      </c>
      <c r="I55" t="n">
        <v>173462</v>
      </c>
      <c r="J55" t="n">
        <v>195808</v>
      </c>
      <c r="K55" t="n">
        <v>206561</v>
      </c>
      <c r="L55" t="n">
        <v>246411</v>
      </c>
      <c r="M55" t="n">
        <v>268256</v>
      </c>
      <c r="N55" t="n">
        <v>279687</v>
      </c>
      <c r="O55" t="n">
        <v>302204</v>
      </c>
      <c r="P55" t="n">
        <v>331557</v>
      </c>
      <c r="Q55" t="n">
        <v>351195</v>
      </c>
      <c r="R55" t="n">
        <v>379994</v>
      </c>
      <c r="S55" t="n">
        <v>408734</v>
      </c>
      <c r="T55" t="n">
        <v>418634</v>
      </c>
      <c r="U55" t="n">
        <v>398050</v>
      </c>
      <c r="V55" t="n">
        <v>399694</v>
      </c>
      <c r="W55" t="n">
        <v>399290</v>
      </c>
      <c r="X55" t="n">
        <v>421645</v>
      </c>
      <c r="Y55" t="n">
        <v>433718</v>
      </c>
      <c r="Z55" t="n">
        <v>454027</v>
      </c>
      <c r="AA55" t="n">
        <v>467361</v>
      </c>
      <c r="AB55" t="n">
        <v>489157</v>
      </c>
      <c r="AC55" t="n">
        <v>520511</v>
      </c>
      <c r="AD55" t="n">
        <v>590599</v>
      </c>
      <c r="AE55" t="n">
        <v>506982</v>
      </c>
      <c r="AF55" t="n">
        <v>578322</v>
      </c>
    </row>
    <row r="56">
      <c r="A56" t="s">
        <v>4</v>
      </c>
      <c r="B56" t="s">
        <v>269</v>
      </c>
      <c r="C56" t="s">
        <v>129</v>
      </c>
      <c r="D56" t="s">
        <v>270</v>
      </c>
      <c r="E56" t="s">
        <v>130</v>
      </c>
      <c r="F56" t="n">
        <v>705</v>
      </c>
      <c r="G56" t="n">
        <v>898</v>
      </c>
      <c r="H56" t="n">
        <v>1269</v>
      </c>
      <c r="I56" t="n">
        <v>1566</v>
      </c>
      <c r="J56" t="n">
        <v>1790</v>
      </c>
      <c r="K56" t="n">
        <v>2277</v>
      </c>
      <c r="L56" t="n">
        <v>2950</v>
      </c>
      <c r="M56" t="n">
        <v>3400</v>
      </c>
      <c r="N56" t="n">
        <v>3380</v>
      </c>
      <c r="O56" t="n">
        <v>3404</v>
      </c>
      <c r="P56" t="n">
        <v>3200</v>
      </c>
      <c r="Q56" t="n">
        <v>3870</v>
      </c>
      <c r="R56" t="n">
        <v>3552</v>
      </c>
      <c r="S56" t="n">
        <v>3100</v>
      </c>
      <c r="T56" t="n">
        <v>2305</v>
      </c>
      <c r="U56" t="n">
        <v>3537</v>
      </c>
      <c r="V56" t="n">
        <v>3615</v>
      </c>
      <c r="W56" t="n">
        <v>3820</v>
      </c>
      <c r="X56" t="n">
        <v>3885</v>
      </c>
      <c r="Y56" t="n">
        <v>3885</v>
      </c>
      <c r="Z56" t="n">
        <v>5726</v>
      </c>
      <c r="AA56" t="n">
        <v>6410</v>
      </c>
      <c r="AB56" t="n">
        <v>6460</v>
      </c>
      <c r="AC56" t="n">
        <v>11888</v>
      </c>
      <c r="AD56" t="n">
        <v>8941</v>
      </c>
      <c r="AE56" t="n">
        <v>9133</v>
      </c>
      <c r="AF56" t="n">
        <v>8775</v>
      </c>
    </row>
    <row r="57">
      <c r="A57" t="s">
        <v>4</v>
      </c>
      <c r="B57" t="s">
        <v>271</v>
      </c>
      <c r="C57" t="s">
        <v>129</v>
      </c>
      <c r="D57" t="s">
        <v>272</v>
      </c>
      <c r="E57" t="s">
        <v>130</v>
      </c>
      <c r="F57" t="n">
        <v>4961823</v>
      </c>
      <c r="G57" t="n">
        <v>6102953</v>
      </c>
      <c r="H57" t="n">
        <v>7648826</v>
      </c>
      <c r="I57" t="n">
        <v>9026220</v>
      </c>
      <c r="J57" t="n">
        <v>10004943</v>
      </c>
      <c r="K57" t="n">
        <v>11373997</v>
      </c>
      <c r="L57" t="n">
        <v>13322203</v>
      </c>
      <c r="M57" t="n">
        <v>15141593</v>
      </c>
      <c r="N57" t="n">
        <v>16421119</v>
      </c>
      <c r="O57" t="n">
        <v>18049858</v>
      </c>
      <c r="P57" t="n">
        <v>19450743</v>
      </c>
      <c r="Q57" t="n">
        <v>21117353</v>
      </c>
      <c r="R57" t="n">
        <v>22130723</v>
      </c>
      <c r="S57" t="n">
        <v>23329414</v>
      </c>
      <c r="T57" t="n">
        <v>22495168</v>
      </c>
      <c r="U57" t="n">
        <v>23275263</v>
      </c>
      <c r="V57" t="n">
        <v>24239026</v>
      </c>
      <c r="W57" t="n">
        <v>24331977</v>
      </c>
      <c r="X57" t="n">
        <v>25623570</v>
      </c>
      <c r="Y57" t="n">
        <v>27740776</v>
      </c>
      <c r="Z57" t="n">
        <v>29479307</v>
      </c>
      <c r="AA57" t="n">
        <v>30819577</v>
      </c>
      <c r="AB57" t="n">
        <v>33370173</v>
      </c>
      <c r="AC57" t="n">
        <v>36809440</v>
      </c>
      <c r="AD57" t="n">
        <v>40533359</v>
      </c>
      <c r="AE57" t="n">
        <v>41249705</v>
      </c>
      <c r="AF57" t="n">
        <v>47068878</v>
      </c>
    </row>
    <row r="58">
      <c r="A58" t="s">
        <v>4</v>
      </c>
      <c r="B58" t="s">
        <v>273</v>
      </c>
      <c r="C58" t="s">
        <v>129</v>
      </c>
      <c r="D58" t="s">
        <v>274</v>
      </c>
      <c r="E58" t="s">
        <v>130</v>
      </c>
      <c r="F58" t="n">
        <v>4961118</v>
      </c>
      <c r="G58" t="n">
        <v>6102055</v>
      </c>
      <c r="H58" t="n">
        <v>7647557</v>
      </c>
      <c r="I58" t="n">
        <v>9024654</v>
      </c>
      <c r="J58" t="n">
        <v>10003153</v>
      </c>
      <c r="K58" t="n">
        <v>11371720</v>
      </c>
      <c r="L58" t="n">
        <v>13319253</v>
      </c>
      <c r="M58" t="n">
        <v>15138193</v>
      </c>
      <c r="N58" t="n">
        <v>16417739</v>
      </c>
      <c r="O58" t="n">
        <v>18046454</v>
      </c>
      <c r="P58" t="n">
        <v>19447543</v>
      </c>
      <c r="Q58" t="n">
        <v>21113483</v>
      </c>
      <c r="R58" t="n">
        <v>22127171</v>
      </c>
      <c r="S58" t="n">
        <v>23326314</v>
      </c>
      <c r="T58" t="n">
        <v>22492863</v>
      </c>
      <c r="U58" t="n">
        <v>23271726</v>
      </c>
      <c r="V58" t="n">
        <v>24235411</v>
      </c>
      <c r="W58" t="n">
        <v>24328157</v>
      </c>
      <c r="X58" t="n">
        <v>25619685</v>
      </c>
      <c r="Y58" t="n">
        <v>27736891</v>
      </c>
      <c r="Z58" t="n">
        <v>29473581</v>
      </c>
      <c r="AA58" t="n">
        <v>30813167</v>
      </c>
      <c r="AB58" t="n">
        <v>33363713</v>
      </c>
      <c r="AC58" t="n">
        <v>36797552</v>
      </c>
      <c r="AD58" t="n">
        <v>40524418</v>
      </c>
      <c r="AE58" t="n">
        <v>41240572</v>
      </c>
      <c r="AF58" t="n">
        <v>47060103</v>
      </c>
    </row>
    <row r="59">
      <c r="A59" t="s">
        <v>4</v>
      </c>
      <c r="B59" t="s">
        <v>275</v>
      </c>
      <c r="C59" t="s">
        <v>129</v>
      </c>
      <c r="D59" t="s">
        <v>276</v>
      </c>
      <c r="E59" t="s">
        <v>130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>
      <c r="A2" t="s">
        <v>6</v>
      </c>
      <c r="B2" t="s">
        <v>84</v>
      </c>
      <c r="C2" t="s">
        <v>129</v>
      </c>
      <c r="D2" t="s">
        <v>86</v>
      </c>
      <c r="E2" t="s">
        <v>130</v>
      </c>
      <c r="F2" t="n">
        <v>1018910</v>
      </c>
      <c r="G2" t="n">
        <v>1312690</v>
      </c>
      <c r="H2" t="n">
        <v>1378239</v>
      </c>
      <c r="I2" t="n">
        <v>1514662</v>
      </c>
      <c r="J2" t="n">
        <v>1560679</v>
      </c>
      <c r="K2" t="n">
        <v>1679344</v>
      </c>
      <c r="L2" t="n">
        <v>1986085</v>
      </c>
      <c r="M2" t="n">
        <v>1981114</v>
      </c>
      <c r="N2" t="n">
        <v>1914649</v>
      </c>
      <c r="O2" t="n">
        <v>2118120</v>
      </c>
      <c r="P2" t="n">
        <v>2001974</v>
      </c>
      <c r="Q2" t="n">
        <v>2119990</v>
      </c>
      <c r="R2" t="n">
        <v>2253601</v>
      </c>
      <c r="S2" t="n">
        <v>2375328</v>
      </c>
      <c r="T2" t="n">
        <v>2122817</v>
      </c>
      <c r="U2" t="n">
        <v>2119373</v>
      </c>
      <c r="V2" t="n">
        <v>2638266</v>
      </c>
      <c r="W2" t="n">
        <v>2692117</v>
      </c>
      <c r="X2" t="n">
        <v>2856761</v>
      </c>
      <c r="Y2" t="n">
        <v>2977037</v>
      </c>
      <c r="Z2" t="n">
        <v>3010409</v>
      </c>
      <c r="AA2" t="n">
        <v>3122100</v>
      </c>
      <c r="AB2" t="n">
        <v>3172664</v>
      </c>
      <c r="AC2" t="n">
        <v>3334883</v>
      </c>
      <c r="AD2" t="n">
        <v>3514341</v>
      </c>
      <c r="AE2" t="n">
        <v>3664212</v>
      </c>
      <c r="AF2" t="n">
        <v>4272615</v>
      </c>
    </row>
    <row r="3">
      <c r="A3" t="s">
        <v>6</v>
      </c>
      <c r="B3" t="s">
        <v>163</v>
      </c>
      <c r="C3" t="s">
        <v>129</v>
      </c>
      <c r="D3" t="s">
        <v>164</v>
      </c>
      <c r="E3" t="s">
        <v>130</v>
      </c>
      <c r="F3" t="n">
        <v>51417</v>
      </c>
      <c r="G3" t="n">
        <v>62484</v>
      </c>
      <c r="H3" t="n">
        <v>76889</v>
      </c>
      <c r="I3" t="n">
        <v>69131</v>
      </c>
      <c r="J3" t="n">
        <v>71357</v>
      </c>
      <c r="K3" t="n">
        <v>76154</v>
      </c>
      <c r="L3" t="n">
        <v>85147</v>
      </c>
      <c r="M3" t="n">
        <v>90473</v>
      </c>
      <c r="N3" t="n">
        <v>91529</v>
      </c>
      <c r="O3" t="n">
        <v>99417</v>
      </c>
      <c r="P3" t="n">
        <v>116695</v>
      </c>
      <c r="Q3" t="n">
        <v>150030</v>
      </c>
      <c r="R3" t="n">
        <v>137201</v>
      </c>
      <c r="S3" t="n">
        <v>143727</v>
      </c>
      <c r="T3" t="n">
        <v>138694</v>
      </c>
      <c r="U3" t="n">
        <v>101343</v>
      </c>
      <c r="V3" t="n">
        <v>108576</v>
      </c>
      <c r="W3" t="n">
        <v>109823</v>
      </c>
      <c r="X3" t="n">
        <v>114834</v>
      </c>
      <c r="Y3" t="n">
        <v>119265</v>
      </c>
      <c r="Z3" t="n">
        <v>102592</v>
      </c>
      <c r="AA3" t="n">
        <v>87806</v>
      </c>
      <c r="AB3" t="n">
        <v>120347</v>
      </c>
      <c r="AC3" t="n">
        <v>197419</v>
      </c>
      <c r="AD3" t="n">
        <v>258718</v>
      </c>
      <c r="AE3" t="n">
        <v>202823</v>
      </c>
      <c r="AF3" t="n">
        <v>265210</v>
      </c>
    </row>
    <row r="4">
      <c r="A4" t="s">
        <v>6</v>
      </c>
      <c r="B4" t="s">
        <v>165</v>
      </c>
      <c r="C4" t="s">
        <v>129</v>
      </c>
      <c r="D4" t="s">
        <v>166</v>
      </c>
      <c r="E4" t="s">
        <v>130</v>
      </c>
      <c r="F4" t="n">
        <v>3718144</v>
      </c>
      <c r="G4" t="n">
        <v>4584172</v>
      </c>
      <c r="H4" t="n">
        <v>6191768</v>
      </c>
      <c r="I4" t="n">
        <v>7657001</v>
      </c>
      <c r="J4" t="n">
        <v>8921557</v>
      </c>
      <c r="K4" t="n">
        <v>11030183</v>
      </c>
      <c r="L4" t="n">
        <v>12112305</v>
      </c>
      <c r="M4" t="n">
        <v>12521535</v>
      </c>
      <c r="N4" t="n">
        <v>13900120</v>
      </c>
      <c r="O4" t="n">
        <v>15387512</v>
      </c>
      <c r="P4" t="n">
        <v>17181703</v>
      </c>
      <c r="Q4" t="n">
        <v>19800330</v>
      </c>
      <c r="R4" t="n">
        <v>20494904</v>
      </c>
      <c r="S4" t="n">
        <v>21357359</v>
      </c>
      <c r="T4" t="n">
        <v>18311238</v>
      </c>
      <c r="U4" t="n">
        <v>21248069</v>
      </c>
      <c r="V4" t="n">
        <v>23492853</v>
      </c>
      <c r="W4" t="n">
        <v>23290543</v>
      </c>
      <c r="X4" t="n">
        <v>24236849</v>
      </c>
      <c r="Y4" t="n">
        <v>26322550</v>
      </c>
      <c r="Z4" t="n">
        <v>28010091</v>
      </c>
      <c r="AA4" t="n">
        <v>28603815</v>
      </c>
      <c r="AB4" t="n">
        <v>30102805</v>
      </c>
      <c r="AC4" t="n">
        <v>32475872</v>
      </c>
      <c r="AD4" t="n">
        <v>34964320</v>
      </c>
      <c r="AE4" t="n">
        <v>34858952</v>
      </c>
      <c r="AF4" t="n">
        <v>40876261</v>
      </c>
    </row>
    <row r="5">
      <c r="A5" t="s">
        <v>6</v>
      </c>
      <c r="B5" t="s">
        <v>167</v>
      </c>
      <c r="C5" t="s">
        <v>129</v>
      </c>
      <c r="D5" t="s">
        <v>168</v>
      </c>
      <c r="E5" t="s">
        <v>130</v>
      </c>
      <c r="F5" t="n">
        <v>977549</v>
      </c>
      <c r="G5" t="n">
        <v>1175991</v>
      </c>
      <c r="H5" t="n">
        <v>1328464</v>
      </c>
      <c r="I5" t="n">
        <v>1481253</v>
      </c>
      <c r="J5" t="n">
        <v>1473053</v>
      </c>
      <c r="K5" t="n">
        <v>1762569</v>
      </c>
      <c r="L5" t="n">
        <v>2053726</v>
      </c>
      <c r="M5" t="n">
        <v>2167497</v>
      </c>
      <c r="N5" t="n">
        <v>2222812</v>
      </c>
      <c r="O5" t="n">
        <v>2260481</v>
      </c>
      <c r="P5" t="n">
        <v>2221526</v>
      </c>
      <c r="Q5" t="n">
        <v>2358917</v>
      </c>
      <c r="R5" t="n">
        <v>2305248</v>
      </c>
      <c r="S5" t="n">
        <v>2505951</v>
      </c>
      <c r="T5" t="n">
        <v>2485698</v>
      </c>
      <c r="U5" t="n">
        <v>2410277</v>
      </c>
      <c r="V5" t="n">
        <v>2687292</v>
      </c>
      <c r="W5" t="n">
        <v>2893031</v>
      </c>
      <c r="X5" t="n">
        <v>3072132</v>
      </c>
      <c r="Y5" t="n">
        <v>3042740</v>
      </c>
      <c r="Z5" t="n">
        <v>3132163</v>
      </c>
      <c r="AA5" t="n">
        <v>3258329</v>
      </c>
      <c r="AB5" t="n">
        <v>3372857</v>
      </c>
      <c r="AC5" t="n">
        <v>3579428</v>
      </c>
      <c r="AD5" t="n">
        <v>3831803</v>
      </c>
      <c r="AE5" t="n">
        <v>4065414</v>
      </c>
      <c r="AF5" t="n">
        <v>4646062</v>
      </c>
    </row>
    <row r="6">
      <c r="A6" t="s">
        <v>6</v>
      </c>
      <c r="B6" t="s">
        <v>169</v>
      </c>
      <c r="C6" t="s">
        <v>129</v>
      </c>
      <c r="D6" t="s">
        <v>170</v>
      </c>
      <c r="E6" t="s">
        <v>130</v>
      </c>
      <c r="F6" t="n">
        <v>211438</v>
      </c>
      <c r="G6" t="n">
        <v>244103</v>
      </c>
      <c r="H6" t="n">
        <v>313381</v>
      </c>
      <c r="I6" t="n">
        <v>380266</v>
      </c>
      <c r="J6" t="n">
        <v>417845</v>
      </c>
      <c r="K6" t="n">
        <v>474973</v>
      </c>
      <c r="L6" t="n">
        <v>539734</v>
      </c>
      <c r="M6" t="n">
        <v>490323</v>
      </c>
      <c r="N6" t="n">
        <v>452143</v>
      </c>
      <c r="O6" t="n">
        <v>436470</v>
      </c>
      <c r="P6" t="n">
        <v>402800</v>
      </c>
      <c r="Q6" t="n">
        <v>432624</v>
      </c>
      <c r="R6" t="n">
        <v>420422</v>
      </c>
      <c r="S6" t="n">
        <v>365716</v>
      </c>
      <c r="T6" t="n">
        <v>314027</v>
      </c>
      <c r="U6" t="n">
        <v>304723</v>
      </c>
      <c r="V6" t="n">
        <v>365106</v>
      </c>
      <c r="W6" t="n">
        <v>354596</v>
      </c>
      <c r="X6" t="n">
        <v>365929</v>
      </c>
      <c r="Y6" t="n">
        <v>404611</v>
      </c>
      <c r="Z6" t="n">
        <v>420563</v>
      </c>
      <c r="AA6" t="n">
        <v>440894</v>
      </c>
      <c r="AB6" t="n">
        <v>470747</v>
      </c>
      <c r="AC6" t="n">
        <v>481565</v>
      </c>
      <c r="AD6" t="n">
        <v>463888</v>
      </c>
      <c r="AE6" t="n">
        <v>414706</v>
      </c>
      <c r="AF6" t="n">
        <v>464811</v>
      </c>
    </row>
    <row r="7">
      <c r="A7" t="s">
        <v>6</v>
      </c>
      <c r="B7" t="s">
        <v>171</v>
      </c>
      <c r="C7" t="s">
        <v>129</v>
      </c>
      <c r="D7" t="s">
        <v>172</v>
      </c>
      <c r="E7" t="s">
        <v>130</v>
      </c>
      <c r="F7" t="n">
        <v>253340</v>
      </c>
      <c r="G7" t="n">
        <v>288774</v>
      </c>
      <c r="H7" t="n">
        <v>359124</v>
      </c>
      <c r="I7" t="n">
        <v>394765</v>
      </c>
      <c r="J7" t="n">
        <v>464624</v>
      </c>
      <c r="K7" t="n">
        <v>549707</v>
      </c>
      <c r="L7" t="n">
        <v>650604</v>
      </c>
      <c r="M7" t="n">
        <v>655250</v>
      </c>
      <c r="N7" t="n">
        <v>682479</v>
      </c>
      <c r="O7" t="n">
        <v>710061</v>
      </c>
      <c r="P7" t="n">
        <v>731678</v>
      </c>
      <c r="Q7" t="n">
        <v>780224</v>
      </c>
      <c r="R7" t="n">
        <v>797101</v>
      </c>
      <c r="S7" t="n">
        <v>769919</v>
      </c>
      <c r="T7" t="n">
        <v>717705</v>
      </c>
      <c r="U7" t="n">
        <v>797668</v>
      </c>
      <c r="V7" t="n">
        <v>850257</v>
      </c>
      <c r="W7" t="n">
        <v>791012</v>
      </c>
      <c r="X7" t="n">
        <v>820597</v>
      </c>
      <c r="Y7" t="n">
        <v>889408</v>
      </c>
      <c r="Z7" t="n">
        <v>944976</v>
      </c>
      <c r="AA7" t="n">
        <v>1006932</v>
      </c>
      <c r="AB7" t="n">
        <v>1055681</v>
      </c>
      <c r="AC7" t="n">
        <v>1133623</v>
      </c>
      <c r="AD7" t="n">
        <v>1188126</v>
      </c>
      <c r="AE7" t="n">
        <v>1214757</v>
      </c>
      <c r="AF7" t="n">
        <v>1489174</v>
      </c>
    </row>
    <row r="8">
      <c r="A8" t="s">
        <v>6</v>
      </c>
      <c r="B8" t="s">
        <v>173</v>
      </c>
      <c r="C8" t="s">
        <v>129</v>
      </c>
      <c r="D8" t="s">
        <v>174</v>
      </c>
      <c r="E8" t="s">
        <v>130</v>
      </c>
      <c r="F8" t="n">
        <v>239956</v>
      </c>
      <c r="G8" t="n">
        <v>306328</v>
      </c>
      <c r="H8" t="n">
        <v>395848</v>
      </c>
      <c r="I8" t="n">
        <v>413526</v>
      </c>
      <c r="J8" t="n">
        <v>492041</v>
      </c>
      <c r="K8" t="n">
        <v>629975</v>
      </c>
      <c r="L8" t="n">
        <v>616347</v>
      </c>
      <c r="M8" t="n">
        <v>633810</v>
      </c>
      <c r="N8" t="n">
        <v>677404</v>
      </c>
      <c r="O8" t="n">
        <v>818478</v>
      </c>
      <c r="P8" t="n">
        <v>1154553</v>
      </c>
      <c r="Q8" t="n">
        <v>1390095</v>
      </c>
      <c r="R8" t="n">
        <v>1360155</v>
      </c>
      <c r="S8" t="n">
        <v>1653527</v>
      </c>
      <c r="T8" t="n">
        <v>1223974</v>
      </c>
      <c r="U8" t="n">
        <v>1571450</v>
      </c>
      <c r="V8" t="n">
        <v>1935383</v>
      </c>
      <c r="W8" t="n">
        <v>1979175</v>
      </c>
      <c r="X8" t="n">
        <v>1854563</v>
      </c>
      <c r="Y8" t="n">
        <v>1845140</v>
      </c>
      <c r="Z8" t="n">
        <v>1323867</v>
      </c>
      <c r="AA8" t="n">
        <v>1168388</v>
      </c>
      <c r="AB8" t="n">
        <v>1432931</v>
      </c>
      <c r="AC8" t="n">
        <v>1779927</v>
      </c>
      <c r="AD8" t="n">
        <v>1727673</v>
      </c>
      <c r="AE8" t="n">
        <v>1278754</v>
      </c>
      <c r="AF8" t="n">
        <v>1875974</v>
      </c>
    </row>
    <row r="9">
      <c r="A9" t="s">
        <v>6</v>
      </c>
      <c r="B9" t="s">
        <v>175</v>
      </c>
      <c r="C9" t="s">
        <v>129</v>
      </c>
      <c r="D9" t="s">
        <v>176</v>
      </c>
      <c r="E9" t="s">
        <v>130</v>
      </c>
      <c r="F9" t="n">
        <v>244582</v>
      </c>
      <c r="G9" t="n">
        <v>264143</v>
      </c>
      <c r="H9" t="n">
        <v>330355</v>
      </c>
      <c r="I9" t="n">
        <v>350012</v>
      </c>
      <c r="J9" t="n">
        <v>371103</v>
      </c>
      <c r="K9" t="n">
        <v>517733</v>
      </c>
      <c r="L9" t="n">
        <v>528797</v>
      </c>
      <c r="M9" t="n">
        <v>525496</v>
      </c>
      <c r="N9" t="n">
        <v>540677</v>
      </c>
      <c r="O9" t="n">
        <v>615279</v>
      </c>
      <c r="P9" t="n">
        <v>737065</v>
      </c>
      <c r="Q9" t="n">
        <v>857636</v>
      </c>
      <c r="R9" t="n">
        <v>921553</v>
      </c>
      <c r="S9" t="n">
        <v>938912</v>
      </c>
      <c r="T9" t="n">
        <v>755092</v>
      </c>
      <c r="U9" t="n">
        <v>951088</v>
      </c>
      <c r="V9" t="n">
        <v>1137582</v>
      </c>
      <c r="W9" t="n">
        <v>1288594</v>
      </c>
      <c r="X9" t="n">
        <v>1407494</v>
      </c>
      <c r="Y9" t="n">
        <v>1545267</v>
      </c>
      <c r="Z9" t="n">
        <v>1561734</v>
      </c>
      <c r="AA9" t="n">
        <v>1530925</v>
      </c>
      <c r="AB9" t="n">
        <v>1612622</v>
      </c>
      <c r="AC9" t="n">
        <v>1725526</v>
      </c>
      <c r="AD9" t="n">
        <v>1640887</v>
      </c>
      <c r="AE9" t="n">
        <v>1672909</v>
      </c>
      <c r="AF9" t="n">
        <v>2581829</v>
      </c>
    </row>
    <row r="10">
      <c r="A10" t="s">
        <v>6</v>
      </c>
      <c r="B10" t="s">
        <v>177</v>
      </c>
      <c r="C10" t="s">
        <v>129</v>
      </c>
      <c r="D10" t="s">
        <v>178</v>
      </c>
      <c r="E10" t="s">
        <v>130</v>
      </c>
      <c r="F10" t="n">
        <v>367257</v>
      </c>
      <c r="G10" t="n">
        <v>410552</v>
      </c>
      <c r="H10" t="n">
        <v>527256</v>
      </c>
      <c r="I10" t="n">
        <v>574140</v>
      </c>
      <c r="J10" t="n">
        <v>596978</v>
      </c>
      <c r="K10" t="n">
        <v>791152</v>
      </c>
      <c r="L10" t="n">
        <v>855663</v>
      </c>
      <c r="M10" t="n">
        <v>872469</v>
      </c>
      <c r="N10" t="n">
        <v>945807</v>
      </c>
      <c r="O10" t="n">
        <v>1062369</v>
      </c>
      <c r="P10" t="n">
        <v>1232947</v>
      </c>
      <c r="Q10" t="n">
        <v>1440273</v>
      </c>
      <c r="R10" t="n">
        <v>1481359</v>
      </c>
      <c r="S10" t="n">
        <v>1544500</v>
      </c>
      <c r="T10" t="n">
        <v>1426820</v>
      </c>
      <c r="U10" t="n">
        <v>1690978</v>
      </c>
      <c r="V10" t="n">
        <v>1961538</v>
      </c>
      <c r="W10" t="n">
        <v>2165506</v>
      </c>
      <c r="X10" t="n">
        <v>2242940</v>
      </c>
      <c r="Y10" t="n">
        <v>2436057</v>
      </c>
      <c r="Z10" t="n">
        <v>2513087</v>
      </c>
      <c r="AA10" t="n">
        <v>2490113</v>
      </c>
      <c r="AB10" t="n">
        <v>2654153</v>
      </c>
      <c r="AC10" t="n">
        <v>2765720</v>
      </c>
      <c r="AD10" t="n">
        <v>2760169</v>
      </c>
      <c r="AE10" t="n">
        <v>2866326</v>
      </c>
      <c r="AF10" t="n">
        <v>3861349</v>
      </c>
    </row>
    <row r="11">
      <c r="A11" t="s">
        <v>6</v>
      </c>
      <c r="B11" t="s">
        <v>179</v>
      </c>
      <c r="C11" t="s">
        <v>129</v>
      </c>
      <c r="D11" t="s">
        <v>180</v>
      </c>
      <c r="E11" t="s">
        <v>130</v>
      </c>
      <c r="F11" t="n">
        <v>122675</v>
      </c>
      <c r="G11" t="n">
        <v>146409</v>
      </c>
      <c r="H11" t="n">
        <v>196901</v>
      </c>
      <c r="I11" t="n">
        <v>224128</v>
      </c>
      <c r="J11" t="n">
        <v>225875</v>
      </c>
      <c r="K11" t="n">
        <v>273419</v>
      </c>
      <c r="L11" t="n">
        <v>326866</v>
      </c>
      <c r="M11" t="n">
        <v>346973</v>
      </c>
      <c r="N11" t="n">
        <v>405130</v>
      </c>
      <c r="O11" t="n">
        <v>447090</v>
      </c>
      <c r="P11" t="n">
        <v>495882</v>
      </c>
      <c r="Q11" t="n">
        <v>582637</v>
      </c>
      <c r="R11" t="n">
        <v>559806</v>
      </c>
      <c r="S11" t="n">
        <v>605588</v>
      </c>
      <c r="T11" t="n">
        <v>671728</v>
      </c>
      <c r="U11" t="n">
        <v>739890</v>
      </c>
      <c r="V11" t="n">
        <v>823956</v>
      </c>
      <c r="W11" t="n">
        <v>876912</v>
      </c>
      <c r="X11" t="n">
        <v>835446</v>
      </c>
      <c r="Y11" t="n">
        <v>890790</v>
      </c>
      <c r="Z11" t="n">
        <v>951353</v>
      </c>
      <c r="AA11" t="n">
        <v>959188</v>
      </c>
      <c r="AB11" t="n">
        <v>1041531</v>
      </c>
      <c r="AC11" t="n">
        <v>1040194</v>
      </c>
      <c r="AD11" t="n">
        <v>1119282</v>
      </c>
      <c r="AE11" t="n">
        <v>1193417</v>
      </c>
      <c r="AF11" t="n">
        <v>1279520</v>
      </c>
    </row>
    <row r="12">
      <c r="A12" t="s">
        <v>6</v>
      </c>
      <c r="B12" t="s">
        <v>181</v>
      </c>
      <c r="C12" t="s">
        <v>129</v>
      </c>
      <c r="D12" t="s">
        <v>182</v>
      </c>
      <c r="E12" t="s">
        <v>130</v>
      </c>
      <c r="F12" t="n">
        <v>281941</v>
      </c>
      <c r="G12" t="n">
        <v>340557</v>
      </c>
      <c r="H12" t="n">
        <v>424031</v>
      </c>
      <c r="I12" t="n">
        <v>525672</v>
      </c>
      <c r="J12" t="n">
        <v>581301</v>
      </c>
      <c r="K12" t="n">
        <v>719350</v>
      </c>
      <c r="L12" t="n">
        <v>841577</v>
      </c>
      <c r="M12" t="n">
        <v>907159</v>
      </c>
      <c r="N12" t="n">
        <v>970950</v>
      </c>
      <c r="O12" t="n">
        <v>1060217</v>
      </c>
      <c r="P12" t="n">
        <v>1189124</v>
      </c>
      <c r="Q12" t="n">
        <v>1370817</v>
      </c>
      <c r="R12" t="n">
        <v>1530612</v>
      </c>
      <c r="S12" t="n">
        <v>1618756</v>
      </c>
      <c r="T12" t="n">
        <v>1363962</v>
      </c>
      <c r="U12" t="n">
        <v>1447156</v>
      </c>
      <c r="V12" t="n">
        <v>1629642</v>
      </c>
      <c r="W12" t="n">
        <v>1685376</v>
      </c>
      <c r="X12" t="n">
        <v>1745268</v>
      </c>
      <c r="Y12" t="n">
        <v>1918780</v>
      </c>
      <c r="Z12" t="n">
        <v>2156107</v>
      </c>
      <c r="AA12" t="n">
        <v>2266158</v>
      </c>
      <c r="AB12" t="n">
        <v>2405210</v>
      </c>
      <c r="AC12" t="n">
        <v>2784926</v>
      </c>
      <c r="AD12" t="n">
        <v>2953859</v>
      </c>
      <c r="AE12" t="n">
        <v>2922406</v>
      </c>
      <c r="AF12" t="n">
        <v>3556677</v>
      </c>
    </row>
    <row r="13">
      <c r="A13" t="s">
        <v>6</v>
      </c>
      <c r="B13" t="s">
        <v>183</v>
      </c>
      <c r="C13" t="s">
        <v>129</v>
      </c>
      <c r="D13" t="s">
        <v>184</v>
      </c>
      <c r="E13" t="s">
        <v>130</v>
      </c>
      <c r="F13" t="n">
        <v>440103</v>
      </c>
      <c r="G13" t="n">
        <v>497896</v>
      </c>
      <c r="H13" t="n">
        <v>657494</v>
      </c>
      <c r="I13" t="n">
        <v>745217</v>
      </c>
      <c r="J13" t="n">
        <v>782277</v>
      </c>
      <c r="K13" t="n">
        <v>997380</v>
      </c>
      <c r="L13" t="n">
        <v>1071429</v>
      </c>
      <c r="M13" t="n">
        <v>1086239</v>
      </c>
      <c r="N13" t="n">
        <v>1168260</v>
      </c>
      <c r="O13" t="n">
        <v>1370256</v>
      </c>
      <c r="P13" t="n">
        <v>1488117</v>
      </c>
      <c r="Q13" t="n">
        <v>1782224</v>
      </c>
      <c r="R13" t="n">
        <v>1845629</v>
      </c>
      <c r="S13" t="n">
        <v>1867492</v>
      </c>
      <c r="T13" t="n">
        <v>1289727</v>
      </c>
      <c r="U13" t="n">
        <v>1495526</v>
      </c>
      <c r="V13" t="n">
        <v>1843071</v>
      </c>
      <c r="W13" t="n">
        <v>1766323</v>
      </c>
      <c r="X13" t="n">
        <v>1830236</v>
      </c>
      <c r="Y13" t="n">
        <v>1949356</v>
      </c>
      <c r="Z13" t="n">
        <v>2092048</v>
      </c>
      <c r="AA13" t="n">
        <v>2173599</v>
      </c>
      <c r="AB13" t="n">
        <v>2501764</v>
      </c>
      <c r="AC13" t="n">
        <v>2833063</v>
      </c>
      <c r="AD13" t="n">
        <v>2866102</v>
      </c>
      <c r="AE13" t="n">
        <v>2736738</v>
      </c>
      <c r="AF13" t="n">
        <v>3606630</v>
      </c>
    </row>
    <row r="14">
      <c r="A14" t="s">
        <v>6</v>
      </c>
      <c r="B14" t="s">
        <v>185</v>
      </c>
      <c r="C14" t="s">
        <v>129</v>
      </c>
      <c r="D14" t="s">
        <v>186</v>
      </c>
      <c r="E14" t="s">
        <v>130</v>
      </c>
      <c r="F14" t="n">
        <v>132693</v>
      </c>
      <c r="G14" t="n">
        <v>269405</v>
      </c>
      <c r="H14" t="n">
        <v>656341</v>
      </c>
      <c r="I14" t="n">
        <v>997880</v>
      </c>
      <c r="J14" t="n">
        <v>1491305</v>
      </c>
      <c r="K14" t="n">
        <v>1607710</v>
      </c>
      <c r="L14" t="n">
        <v>1740752</v>
      </c>
      <c r="M14" t="n">
        <v>1766806</v>
      </c>
      <c r="N14" t="n">
        <v>2535723</v>
      </c>
      <c r="O14" t="n">
        <v>3158194</v>
      </c>
      <c r="P14" t="n">
        <v>3492793</v>
      </c>
      <c r="Q14" t="n">
        <v>3911297</v>
      </c>
      <c r="R14" t="n">
        <v>3803748</v>
      </c>
      <c r="S14" t="n">
        <v>3853410</v>
      </c>
      <c r="T14" t="n">
        <v>3589159</v>
      </c>
      <c r="U14" t="n">
        <v>4585652</v>
      </c>
      <c r="V14" t="n">
        <v>4339632</v>
      </c>
      <c r="W14" t="n">
        <v>3366049</v>
      </c>
      <c r="X14" t="n">
        <v>2932438</v>
      </c>
      <c r="Y14" t="n">
        <v>2898693</v>
      </c>
      <c r="Z14" t="n">
        <v>3072605</v>
      </c>
      <c r="AA14" t="n">
        <v>3282140</v>
      </c>
      <c r="AB14" t="n">
        <v>3422732</v>
      </c>
      <c r="AC14" t="n">
        <v>3802325</v>
      </c>
      <c r="AD14" t="n">
        <v>4185951</v>
      </c>
      <c r="AE14" t="n">
        <v>4386093</v>
      </c>
      <c r="AF14" t="n">
        <v>4688050</v>
      </c>
    </row>
    <row r="15">
      <c r="A15" t="s">
        <v>6</v>
      </c>
      <c r="B15" t="s">
        <v>187</v>
      </c>
      <c r="C15" t="s">
        <v>129</v>
      </c>
      <c r="D15" t="s">
        <v>188</v>
      </c>
      <c r="E15" t="s">
        <v>130</v>
      </c>
      <c r="F15" t="n">
        <v>305591</v>
      </c>
      <c r="G15" t="n">
        <v>496790</v>
      </c>
      <c r="H15" t="n">
        <v>935750</v>
      </c>
      <c r="I15" t="n">
        <v>1348642</v>
      </c>
      <c r="J15" t="n">
        <v>1933670</v>
      </c>
      <c r="K15" t="n">
        <v>2509125</v>
      </c>
      <c r="L15" t="n">
        <v>2715620</v>
      </c>
      <c r="M15" t="n">
        <v>2819441</v>
      </c>
      <c r="N15" t="n">
        <v>3525795</v>
      </c>
      <c r="O15" t="n">
        <v>4204538</v>
      </c>
      <c r="P15" t="n">
        <v>4667793</v>
      </c>
      <c r="Q15" t="n">
        <v>5210087</v>
      </c>
      <c r="R15" t="n">
        <v>5130966</v>
      </c>
      <c r="S15" t="n">
        <v>5248501</v>
      </c>
      <c r="T15" t="n">
        <v>4375550</v>
      </c>
      <c r="U15" t="n">
        <v>5550042</v>
      </c>
      <c r="V15" t="n">
        <v>5259046</v>
      </c>
      <c r="W15" t="n">
        <v>4289949</v>
      </c>
      <c r="X15" t="n">
        <v>3906728</v>
      </c>
      <c r="Y15" t="n">
        <v>3981451</v>
      </c>
      <c r="Z15" t="n">
        <v>4239043</v>
      </c>
      <c r="AA15" t="n">
        <v>4530371</v>
      </c>
      <c r="AB15" t="n">
        <v>4746411</v>
      </c>
      <c r="AC15" t="n">
        <v>5278951</v>
      </c>
      <c r="AD15" t="n">
        <v>5989579</v>
      </c>
      <c r="AE15" t="n">
        <v>6496436</v>
      </c>
      <c r="AF15" t="n">
        <v>7860200</v>
      </c>
    </row>
    <row r="16">
      <c r="A16" t="s">
        <v>6</v>
      </c>
      <c r="B16" t="s">
        <v>189</v>
      </c>
      <c r="C16" t="s">
        <v>129</v>
      </c>
      <c r="D16" t="s">
        <v>190</v>
      </c>
      <c r="E16" t="s">
        <v>130</v>
      </c>
      <c r="F16" t="n">
        <v>172898</v>
      </c>
      <c r="G16" t="n">
        <v>227385</v>
      </c>
      <c r="H16" t="n">
        <v>279409</v>
      </c>
      <c r="I16" t="n">
        <v>350762</v>
      </c>
      <c r="J16" t="n">
        <v>442365</v>
      </c>
      <c r="K16" t="n">
        <v>901415</v>
      </c>
      <c r="L16" t="n">
        <v>974868</v>
      </c>
      <c r="M16" t="n">
        <v>1052635</v>
      </c>
      <c r="N16" t="n">
        <v>990072</v>
      </c>
      <c r="O16" t="n">
        <v>1046344</v>
      </c>
      <c r="P16" t="n">
        <v>1175000</v>
      </c>
      <c r="Q16" t="n">
        <v>1298790</v>
      </c>
      <c r="R16" t="n">
        <v>1327218</v>
      </c>
      <c r="S16" t="n">
        <v>1395091</v>
      </c>
      <c r="T16" t="n">
        <v>786391</v>
      </c>
      <c r="U16" t="n">
        <v>964390</v>
      </c>
      <c r="V16" t="n">
        <v>919414</v>
      </c>
      <c r="W16" t="n">
        <v>923900</v>
      </c>
      <c r="X16" t="n">
        <v>974290</v>
      </c>
      <c r="Y16" t="n">
        <v>1082758</v>
      </c>
      <c r="Z16" t="n">
        <v>1166438</v>
      </c>
      <c r="AA16" t="n">
        <v>1248231</v>
      </c>
      <c r="AB16" t="n">
        <v>1323679</v>
      </c>
      <c r="AC16" t="n">
        <v>1476626</v>
      </c>
      <c r="AD16" t="n">
        <v>1803628</v>
      </c>
      <c r="AE16" t="n">
        <v>2110343</v>
      </c>
      <c r="AF16" t="n">
        <v>3172150</v>
      </c>
    </row>
    <row r="17">
      <c r="A17" t="s">
        <v>6</v>
      </c>
      <c r="B17" t="s">
        <v>191</v>
      </c>
      <c r="C17" t="s">
        <v>129</v>
      </c>
      <c r="D17" t="s">
        <v>192</v>
      </c>
      <c r="E17" t="s">
        <v>130</v>
      </c>
      <c r="F17" t="n">
        <v>158516</v>
      </c>
      <c r="G17" t="n">
        <v>191272</v>
      </c>
      <c r="H17" t="n">
        <v>237034</v>
      </c>
      <c r="I17" t="n">
        <v>269872</v>
      </c>
      <c r="J17" t="n">
        <v>301489</v>
      </c>
      <c r="K17" t="n">
        <v>350335</v>
      </c>
      <c r="L17" t="n">
        <v>412125</v>
      </c>
      <c r="M17" t="n">
        <v>487179</v>
      </c>
      <c r="N17" t="n">
        <v>539693</v>
      </c>
      <c r="O17" t="n">
        <v>603665</v>
      </c>
      <c r="P17" t="n">
        <v>698204</v>
      </c>
      <c r="Q17" t="n">
        <v>785094</v>
      </c>
      <c r="R17" t="n">
        <v>836367</v>
      </c>
      <c r="S17" t="n">
        <v>909936</v>
      </c>
      <c r="T17" t="n">
        <v>1319272</v>
      </c>
      <c r="U17" t="n">
        <v>1428590</v>
      </c>
      <c r="V17" t="n">
        <v>1951816</v>
      </c>
      <c r="W17" t="n">
        <v>2080789</v>
      </c>
      <c r="X17" t="n">
        <v>2085997</v>
      </c>
      <c r="Y17" t="n">
        <v>2215478</v>
      </c>
      <c r="Z17" t="n">
        <v>2279076</v>
      </c>
      <c r="AA17" t="n">
        <v>2004594</v>
      </c>
      <c r="AB17" t="n">
        <v>2065176</v>
      </c>
      <c r="AC17" t="n">
        <v>1942186</v>
      </c>
      <c r="AD17" t="n">
        <v>1954117</v>
      </c>
      <c r="AE17" t="n">
        <v>1963179</v>
      </c>
      <c r="AF17" t="n">
        <v>2305797</v>
      </c>
    </row>
    <row r="18">
      <c r="A18" t="s">
        <v>6</v>
      </c>
      <c r="B18" t="s">
        <v>193</v>
      </c>
      <c r="C18" t="s">
        <v>129</v>
      </c>
      <c r="D18" t="s">
        <v>194</v>
      </c>
      <c r="E18" t="s">
        <v>130</v>
      </c>
      <c r="F18" t="n">
        <v>366334</v>
      </c>
      <c r="G18" t="n">
        <v>494377</v>
      </c>
      <c r="H18" t="n">
        <v>838265</v>
      </c>
      <c r="I18" t="n">
        <v>1315945</v>
      </c>
      <c r="J18" t="n">
        <v>1634163</v>
      </c>
      <c r="K18" t="n">
        <v>1953724</v>
      </c>
      <c r="L18" t="n">
        <v>2012726</v>
      </c>
      <c r="M18" t="n">
        <v>2003304</v>
      </c>
      <c r="N18" t="n">
        <v>2280921</v>
      </c>
      <c r="O18" t="n">
        <v>2389240</v>
      </c>
      <c r="P18" t="n">
        <v>2905450</v>
      </c>
      <c r="Q18" t="n">
        <v>3697309</v>
      </c>
      <c r="R18" t="n">
        <v>4183142</v>
      </c>
      <c r="S18" t="n">
        <v>4268343</v>
      </c>
      <c r="T18" t="n">
        <v>3181195</v>
      </c>
      <c r="U18" t="n">
        <v>3884237</v>
      </c>
      <c r="V18" t="n">
        <v>4331008</v>
      </c>
      <c r="W18" t="n">
        <v>4587771</v>
      </c>
      <c r="X18" t="n">
        <v>5551739</v>
      </c>
      <c r="Y18" t="n">
        <v>6816636</v>
      </c>
      <c r="Z18" t="n">
        <v>7985595</v>
      </c>
      <c r="AA18" t="n">
        <v>8241778</v>
      </c>
      <c r="AB18" t="n">
        <v>8303109</v>
      </c>
      <c r="AC18" t="n">
        <v>8798987</v>
      </c>
      <c r="AD18" t="n">
        <v>9970110</v>
      </c>
      <c r="AE18" t="n">
        <v>9576062</v>
      </c>
      <c r="AF18" t="n">
        <v>9675743</v>
      </c>
    </row>
    <row r="19">
      <c r="A19" t="s">
        <v>6</v>
      </c>
      <c r="B19" t="s">
        <v>195</v>
      </c>
      <c r="C19" t="s">
        <v>129</v>
      </c>
      <c r="D19" t="s">
        <v>196</v>
      </c>
      <c r="E19" t="s">
        <v>130</v>
      </c>
      <c r="F19" t="n">
        <v>116119</v>
      </c>
      <c r="G19" t="n">
        <v>137532</v>
      </c>
      <c r="H19" t="n">
        <v>175121</v>
      </c>
      <c r="I19" t="n">
        <v>207703</v>
      </c>
      <c r="J19" t="n">
        <v>244116</v>
      </c>
      <c r="K19" t="n">
        <v>291893</v>
      </c>
      <c r="L19" t="n">
        <v>342754</v>
      </c>
      <c r="M19" t="n">
        <v>398864</v>
      </c>
      <c r="N19" t="n">
        <v>433856</v>
      </c>
      <c r="O19" t="n">
        <v>471737</v>
      </c>
      <c r="P19" t="n">
        <v>489511</v>
      </c>
      <c r="Q19" t="n">
        <v>552666</v>
      </c>
      <c r="R19" t="n">
        <v>603903</v>
      </c>
      <c r="S19" t="n">
        <v>604718</v>
      </c>
      <c r="T19" t="n">
        <v>613308</v>
      </c>
      <c r="U19" t="n">
        <v>667422</v>
      </c>
      <c r="V19" t="n">
        <v>678694</v>
      </c>
      <c r="W19" t="n">
        <v>697015</v>
      </c>
      <c r="X19" t="n">
        <v>760720</v>
      </c>
      <c r="Y19" t="n">
        <v>822893</v>
      </c>
      <c r="Z19" t="n">
        <v>923566</v>
      </c>
      <c r="AA19" t="n">
        <v>1022659</v>
      </c>
      <c r="AB19" t="n">
        <v>1094766</v>
      </c>
      <c r="AC19" t="n">
        <v>1097496</v>
      </c>
      <c r="AD19" t="n">
        <v>1258894</v>
      </c>
      <c r="AE19" t="n">
        <v>1324174</v>
      </c>
      <c r="AF19" t="n">
        <v>1533844</v>
      </c>
    </row>
    <row r="20">
      <c r="A20" t="s">
        <v>6</v>
      </c>
      <c r="B20" t="s">
        <v>197</v>
      </c>
      <c r="C20" t="s">
        <v>129</v>
      </c>
      <c r="D20" t="s">
        <v>198</v>
      </c>
      <c r="E20" t="s">
        <v>130</v>
      </c>
      <c r="F20" t="n">
        <v>379339</v>
      </c>
      <c r="G20" t="n">
        <v>485332</v>
      </c>
      <c r="H20" t="n">
        <v>634958</v>
      </c>
      <c r="I20" t="n">
        <v>759198</v>
      </c>
      <c r="J20" t="n">
        <v>798795</v>
      </c>
      <c r="K20" t="n">
        <v>671397</v>
      </c>
      <c r="L20" t="n">
        <v>709826</v>
      </c>
      <c r="M20" t="n">
        <v>793990</v>
      </c>
      <c r="N20" t="n">
        <v>892442</v>
      </c>
      <c r="O20" t="n">
        <v>1065444</v>
      </c>
      <c r="P20" t="n">
        <v>1130854</v>
      </c>
      <c r="Q20" t="n">
        <v>1179280</v>
      </c>
      <c r="R20" t="n">
        <v>1499008</v>
      </c>
      <c r="S20" t="n">
        <v>1669782</v>
      </c>
      <c r="T20" t="n">
        <v>1665103</v>
      </c>
      <c r="U20" t="n">
        <v>1619709</v>
      </c>
      <c r="V20" t="n">
        <v>1606272</v>
      </c>
      <c r="W20" t="n">
        <v>1629435</v>
      </c>
      <c r="X20" t="n">
        <v>1499522</v>
      </c>
      <c r="Y20" t="n">
        <v>1405626</v>
      </c>
      <c r="Z20" t="n">
        <v>1410813</v>
      </c>
      <c r="AA20" t="n">
        <v>1476877</v>
      </c>
      <c r="AB20" t="n">
        <v>1419720</v>
      </c>
      <c r="AC20" t="n">
        <v>1455326</v>
      </c>
      <c r="AD20" t="n">
        <v>1610450</v>
      </c>
      <c r="AE20" t="n">
        <v>1553769</v>
      </c>
      <c r="AF20" t="n">
        <v>2056601</v>
      </c>
    </row>
    <row r="21">
      <c r="A21" t="s">
        <v>6</v>
      </c>
      <c r="B21" t="s">
        <v>199</v>
      </c>
      <c r="C21" t="s">
        <v>129</v>
      </c>
      <c r="D21" t="s">
        <v>200</v>
      </c>
      <c r="E21" t="s">
        <v>130</v>
      </c>
      <c r="F21" t="n">
        <v>478773</v>
      </c>
      <c r="G21" t="n">
        <v>596967</v>
      </c>
      <c r="H21" t="n">
        <v>771420</v>
      </c>
      <c r="I21" t="n">
        <v>943142</v>
      </c>
      <c r="J21" t="n">
        <v>1018005</v>
      </c>
      <c r="K21" t="n">
        <v>921387</v>
      </c>
      <c r="L21" t="n">
        <v>988300</v>
      </c>
      <c r="M21" t="n">
        <v>1109034</v>
      </c>
      <c r="N21" t="n">
        <v>1233234</v>
      </c>
      <c r="O21" t="n">
        <v>1451058</v>
      </c>
      <c r="P21" t="n">
        <v>1575335</v>
      </c>
      <c r="Q21" t="n">
        <v>1660073</v>
      </c>
      <c r="R21" t="n">
        <v>1994411</v>
      </c>
      <c r="S21" t="n">
        <v>2192679</v>
      </c>
      <c r="T21" t="n">
        <v>2215844</v>
      </c>
      <c r="U21" t="n">
        <v>2200534</v>
      </c>
      <c r="V21" t="n">
        <v>2237033</v>
      </c>
      <c r="W21" t="n">
        <v>2249640</v>
      </c>
      <c r="X21" t="n">
        <v>2114064</v>
      </c>
      <c r="Y21" t="n">
        <v>2026343</v>
      </c>
      <c r="Z21" t="n">
        <v>2047120</v>
      </c>
      <c r="AA21" t="n">
        <v>2159287</v>
      </c>
      <c r="AB21" t="n">
        <v>2155127</v>
      </c>
      <c r="AC21" t="n">
        <v>2185860</v>
      </c>
      <c r="AD21" t="n">
        <v>2382077</v>
      </c>
      <c r="AE21" t="n">
        <v>2337495</v>
      </c>
      <c r="AF21" t="n">
        <v>2930481</v>
      </c>
    </row>
    <row r="22">
      <c r="A22" t="s">
        <v>6</v>
      </c>
      <c r="B22" t="s">
        <v>201</v>
      </c>
      <c r="C22" t="s">
        <v>129</v>
      </c>
      <c r="D22" t="s">
        <v>202</v>
      </c>
      <c r="E22" t="s">
        <v>130</v>
      </c>
      <c r="F22" t="n">
        <v>99434</v>
      </c>
      <c r="G22" t="n">
        <v>111635</v>
      </c>
      <c r="H22" t="n">
        <v>136462</v>
      </c>
      <c r="I22" t="n">
        <v>183944</v>
      </c>
      <c r="J22" t="n">
        <v>219210</v>
      </c>
      <c r="K22" t="n">
        <v>249990</v>
      </c>
      <c r="L22" t="n">
        <v>278474</v>
      </c>
      <c r="M22" t="n">
        <v>315044</v>
      </c>
      <c r="N22" t="n">
        <v>340792</v>
      </c>
      <c r="O22" t="n">
        <v>385614</v>
      </c>
      <c r="P22" t="n">
        <v>444481</v>
      </c>
      <c r="Q22" t="n">
        <v>480793</v>
      </c>
      <c r="R22" t="n">
        <v>495403</v>
      </c>
      <c r="S22" t="n">
        <v>522897</v>
      </c>
      <c r="T22" t="n">
        <v>550741</v>
      </c>
      <c r="U22" t="n">
        <v>580825</v>
      </c>
      <c r="V22" t="n">
        <v>630761</v>
      </c>
      <c r="W22" t="n">
        <v>620205</v>
      </c>
      <c r="X22" t="n">
        <v>614542</v>
      </c>
      <c r="Y22" t="n">
        <v>620717</v>
      </c>
      <c r="Z22" t="n">
        <v>636307</v>
      </c>
      <c r="AA22" t="n">
        <v>682410</v>
      </c>
      <c r="AB22" t="n">
        <v>735407</v>
      </c>
      <c r="AC22" t="n">
        <v>730534</v>
      </c>
      <c r="AD22" t="n">
        <v>771627</v>
      </c>
      <c r="AE22" t="n">
        <v>783726</v>
      </c>
      <c r="AF22" t="n">
        <v>873880</v>
      </c>
    </row>
    <row r="23">
      <c r="A23" t="s">
        <v>6</v>
      </c>
      <c r="B23" t="s">
        <v>203</v>
      </c>
      <c r="C23" t="s">
        <v>129</v>
      </c>
      <c r="D23" t="s">
        <v>204</v>
      </c>
      <c r="E23" t="s">
        <v>130</v>
      </c>
      <c r="F23" t="n">
        <v>605950</v>
      </c>
      <c r="G23" t="n">
        <v>754577</v>
      </c>
      <c r="H23" t="n">
        <v>943749</v>
      </c>
      <c r="I23" t="n">
        <v>1043604</v>
      </c>
      <c r="J23" t="n">
        <v>1210455</v>
      </c>
      <c r="K23" t="n">
        <v>1411041</v>
      </c>
      <c r="L23" t="n">
        <v>1787002</v>
      </c>
      <c r="M23" t="n">
        <v>2137823</v>
      </c>
      <c r="N23" t="n">
        <v>2224615</v>
      </c>
      <c r="O23" t="n">
        <v>2465748</v>
      </c>
      <c r="P23" t="n">
        <v>2841229</v>
      </c>
      <c r="Q23" t="n">
        <v>2970493</v>
      </c>
      <c r="R23" t="n">
        <v>2816377</v>
      </c>
      <c r="S23" t="n">
        <v>2990947</v>
      </c>
      <c r="T23" t="n">
        <v>2892166</v>
      </c>
      <c r="U23" t="n">
        <v>2522337</v>
      </c>
      <c r="V23" t="n">
        <v>2417371</v>
      </c>
      <c r="W23" t="n">
        <v>2294069</v>
      </c>
      <c r="X23" t="n">
        <v>2628409</v>
      </c>
      <c r="Y23" t="n">
        <v>3044671</v>
      </c>
      <c r="Z23" t="n">
        <v>3222936</v>
      </c>
      <c r="AA23" t="n">
        <v>2928125</v>
      </c>
      <c r="AB23" t="n">
        <v>3764514</v>
      </c>
      <c r="AC23" t="n">
        <v>4974790</v>
      </c>
      <c r="AD23" t="n">
        <v>6168009</v>
      </c>
      <c r="AE23" t="n">
        <v>6488783</v>
      </c>
      <c r="AF23" t="n">
        <v>7788578</v>
      </c>
    </row>
    <row r="24">
      <c r="A24" t="s">
        <v>6</v>
      </c>
      <c r="B24" t="s">
        <v>205</v>
      </c>
      <c r="C24" t="s">
        <v>129</v>
      </c>
      <c r="D24" t="s">
        <v>206</v>
      </c>
      <c r="E24" t="s">
        <v>130</v>
      </c>
      <c r="F24" t="n">
        <v>1034417</v>
      </c>
      <c r="G24" t="n">
        <v>1279537</v>
      </c>
      <c r="H24" t="n">
        <v>1588628</v>
      </c>
      <c r="I24" t="n">
        <v>1962605</v>
      </c>
      <c r="J24" t="n">
        <v>2158838</v>
      </c>
      <c r="K24" t="n">
        <v>2530603</v>
      </c>
      <c r="L24" t="n">
        <v>2980654</v>
      </c>
      <c r="M24" t="n">
        <v>3401935</v>
      </c>
      <c r="N24" t="n">
        <v>3606980</v>
      </c>
      <c r="O24" t="n">
        <v>3876814</v>
      </c>
      <c r="P24" t="n">
        <v>4320001</v>
      </c>
      <c r="Q24" t="n">
        <v>4755953</v>
      </c>
      <c r="R24" t="n">
        <v>4922648</v>
      </c>
      <c r="S24" t="n">
        <v>5641850</v>
      </c>
      <c r="T24" t="n">
        <v>5096404</v>
      </c>
      <c r="U24" t="n">
        <v>5044783</v>
      </c>
      <c r="V24" t="n">
        <v>5295744</v>
      </c>
      <c r="W24" t="n">
        <v>5191009</v>
      </c>
      <c r="X24" t="n">
        <v>5610858</v>
      </c>
      <c r="Y24" t="n">
        <v>6007351</v>
      </c>
      <c r="Z24" t="n">
        <v>6226177</v>
      </c>
      <c r="AA24" t="n">
        <v>6515500</v>
      </c>
      <c r="AB24" t="n">
        <v>6988886</v>
      </c>
      <c r="AC24" t="n">
        <v>7762999</v>
      </c>
      <c r="AD24" t="n">
        <v>8424583</v>
      </c>
      <c r="AE24" t="n">
        <v>8775513</v>
      </c>
      <c r="AF24" t="n">
        <v>10265378</v>
      </c>
    </row>
    <row r="25">
      <c r="A25" t="s">
        <v>6</v>
      </c>
      <c r="B25" t="s">
        <v>207</v>
      </c>
      <c r="C25" t="s">
        <v>129</v>
      </c>
      <c r="D25" t="s">
        <v>208</v>
      </c>
      <c r="E25" t="s">
        <v>130</v>
      </c>
      <c r="F25" t="n">
        <v>107012</v>
      </c>
      <c r="G25" t="n">
        <v>140407</v>
      </c>
      <c r="H25" t="n">
        <v>168354</v>
      </c>
      <c r="I25" t="n">
        <v>242077</v>
      </c>
      <c r="J25" t="n">
        <v>266558</v>
      </c>
      <c r="K25" t="n">
        <v>334067</v>
      </c>
      <c r="L25" t="n">
        <v>393748</v>
      </c>
      <c r="M25" t="n">
        <v>456119</v>
      </c>
      <c r="N25" t="n">
        <v>488304</v>
      </c>
      <c r="O25" t="n">
        <v>518404</v>
      </c>
      <c r="P25" t="n">
        <v>548455</v>
      </c>
      <c r="Q25" t="n">
        <v>599897</v>
      </c>
      <c r="R25" t="n">
        <v>643243</v>
      </c>
      <c r="S25" t="n">
        <v>710275</v>
      </c>
      <c r="T25" t="n">
        <v>636191</v>
      </c>
      <c r="U25" t="n">
        <v>544132</v>
      </c>
      <c r="V25" t="n">
        <v>580543</v>
      </c>
      <c r="W25" t="n">
        <v>569274</v>
      </c>
      <c r="X25" t="n">
        <v>618806</v>
      </c>
      <c r="Y25" t="n">
        <v>651158</v>
      </c>
      <c r="Z25" t="n">
        <v>695641</v>
      </c>
      <c r="AA25" t="n">
        <v>740891</v>
      </c>
      <c r="AB25" t="n">
        <v>816712</v>
      </c>
      <c r="AC25" t="n">
        <v>945206</v>
      </c>
      <c r="AD25" t="n">
        <v>1038695</v>
      </c>
      <c r="AE25" t="n">
        <v>991812</v>
      </c>
      <c r="AF25" t="n">
        <v>1141976</v>
      </c>
    </row>
    <row r="26">
      <c r="A26" t="s">
        <v>6</v>
      </c>
      <c r="B26" t="s">
        <v>209</v>
      </c>
      <c r="C26" t="s">
        <v>129</v>
      </c>
      <c r="D26" t="s">
        <v>210</v>
      </c>
      <c r="E26" t="s">
        <v>130</v>
      </c>
      <c r="F26" t="n">
        <v>513664</v>
      </c>
      <c r="G26" t="n">
        <v>661205</v>
      </c>
      <c r="H26" t="n">
        <v>843884</v>
      </c>
      <c r="I26" t="n">
        <v>990375</v>
      </c>
      <c r="J26" t="n">
        <v>1119143</v>
      </c>
      <c r="K26" t="n">
        <v>1309244</v>
      </c>
      <c r="L26" t="n">
        <v>1529436</v>
      </c>
      <c r="M26" t="n">
        <v>1740000</v>
      </c>
      <c r="N26" t="n">
        <v>1841815</v>
      </c>
      <c r="O26" t="n">
        <v>1954307</v>
      </c>
      <c r="P26" t="n">
        <v>2241025</v>
      </c>
      <c r="Q26" t="n">
        <v>2518046</v>
      </c>
      <c r="R26" t="n">
        <v>2591453</v>
      </c>
      <c r="S26" t="n">
        <v>3049744</v>
      </c>
      <c r="T26" t="n">
        <v>2643432</v>
      </c>
      <c r="U26" t="n">
        <v>2762658</v>
      </c>
      <c r="V26" t="n">
        <v>2871691</v>
      </c>
      <c r="W26" t="n">
        <v>2770017</v>
      </c>
      <c r="X26" t="n">
        <v>2953542</v>
      </c>
      <c r="Y26" t="n">
        <v>3105158</v>
      </c>
      <c r="Z26" t="n">
        <v>3235473</v>
      </c>
      <c r="AA26" t="n">
        <v>3290254</v>
      </c>
      <c r="AB26" t="n">
        <v>3463259</v>
      </c>
      <c r="AC26" t="n">
        <v>3845063</v>
      </c>
      <c r="AD26" t="n">
        <v>4093052</v>
      </c>
      <c r="AE26" t="n">
        <v>4435522</v>
      </c>
      <c r="AF26" t="n">
        <v>5336869</v>
      </c>
    </row>
    <row r="27">
      <c r="A27" t="s">
        <v>6</v>
      </c>
      <c r="B27" t="s">
        <v>211</v>
      </c>
      <c r="C27" t="s">
        <v>129</v>
      </c>
      <c r="D27" t="s">
        <v>212</v>
      </c>
      <c r="E27" t="s">
        <v>130</v>
      </c>
      <c r="F27" t="n">
        <v>413741</v>
      </c>
      <c r="G27" t="n">
        <v>477925</v>
      </c>
      <c r="H27" t="n">
        <v>576390</v>
      </c>
      <c r="I27" t="n">
        <v>730153</v>
      </c>
      <c r="J27" t="n">
        <v>773137</v>
      </c>
      <c r="K27" t="n">
        <v>887292</v>
      </c>
      <c r="L27" t="n">
        <v>1057470</v>
      </c>
      <c r="M27" t="n">
        <v>1205816</v>
      </c>
      <c r="N27" t="n">
        <v>1276861</v>
      </c>
      <c r="O27" t="n">
        <v>1404103</v>
      </c>
      <c r="P27" t="n">
        <v>1530521</v>
      </c>
      <c r="Q27" t="n">
        <v>1638010</v>
      </c>
      <c r="R27" t="n">
        <v>1687952</v>
      </c>
      <c r="S27" t="n">
        <v>1881831</v>
      </c>
      <c r="T27" t="n">
        <v>1816781</v>
      </c>
      <c r="U27" t="n">
        <v>1737993</v>
      </c>
      <c r="V27" t="n">
        <v>1843510</v>
      </c>
      <c r="W27" t="n">
        <v>1851718</v>
      </c>
      <c r="X27" t="n">
        <v>2038510</v>
      </c>
      <c r="Y27" t="n">
        <v>2251035</v>
      </c>
      <c r="Z27" t="n">
        <v>2295063</v>
      </c>
      <c r="AA27" t="n">
        <v>2484355</v>
      </c>
      <c r="AB27" t="n">
        <v>2708915</v>
      </c>
      <c r="AC27" t="n">
        <v>2972730</v>
      </c>
      <c r="AD27" t="n">
        <v>3292836</v>
      </c>
      <c r="AE27" t="n">
        <v>3348179</v>
      </c>
      <c r="AF27" t="n">
        <v>3786533</v>
      </c>
    </row>
    <row r="28">
      <c r="A28" t="s">
        <v>6</v>
      </c>
      <c r="B28" t="s">
        <v>213</v>
      </c>
      <c r="C28" t="s">
        <v>129</v>
      </c>
      <c r="D28" t="s">
        <v>214</v>
      </c>
      <c r="E28" t="s">
        <v>130</v>
      </c>
      <c r="F28" t="n">
        <v>614268</v>
      </c>
      <c r="G28" t="n">
        <v>710974</v>
      </c>
      <c r="H28" t="n">
        <v>912696</v>
      </c>
      <c r="I28" t="n">
        <v>1035036</v>
      </c>
      <c r="J28" t="n">
        <v>1203382</v>
      </c>
      <c r="K28" t="n">
        <v>1353565</v>
      </c>
      <c r="L28" t="n">
        <v>1538328</v>
      </c>
      <c r="M28" t="n">
        <v>1659717</v>
      </c>
      <c r="N28" t="n">
        <v>1683128</v>
      </c>
      <c r="O28" t="n">
        <v>1900897</v>
      </c>
      <c r="P28" t="n">
        <v>2125158</v>
      </c>
      <c r="Q28" t="n">
        <v>2433483</v>
      </c>
      <c r="R28" t="n">
        <v>2657477</v>
      </c>
      <c r="S28" t="n">
        <v>3014359</v>
      </c>
      <c r="T28" t="n">
        <v>2888277</v>
      </c>
      <c r="U28" t="n">
        <v>3029911</v>
      </c>
      <c r="V28" t="n">
        <v>3319536</v>
      </c>
      <c r="W28" t="n">
        <v>3372356</v>
      </c>
      <c r="X28" t="n">
        <v>3569735</v>
      </c>
      <c r="Y28" t="n">
        <v>3885211</v>
      </c>
      <c r="Z28" t="n">
        <v>4009857</v>
      </c>
      <c r="AA28" t="n">
        <v>4187037</v>
      </c>
      <c r="AB28" t="n">
        <v>4378130</v>
      </c>
      <c r="AC28" t="n">
        <v>4974506</v>
      </c>
      <c r="AD28" t="n">
        <v>5372773</v>
      </c>
      <c r="AE28" t="n">
        <v>5026563</v>
      </c>
      <c r="AF28" t="n">
        <v>5570327</v>
      </c>
    </row>
    <row r="29">
      <c r="A29" t="s">
        <v>6</v>
      </c>
      <c r="B29" t="s">
        <v>215</v>
      </c>
      <c r="C29" t="s">
        <v>129</v>
      </c>
      <c r="D29" t="s">
        <v>216</v>
      </c>
      <c r="E29" t="s">
        <v>130</v>
      </c>
      <c r="F29" t="n">
        <v>434817</v>
      </c>
      <c r="G29" t="n">
        <v>467144</v>
      </c>
      <c r="H29" t="n">
        <v>629799</v>
      </c>
      <c r="I29" t="n">
        <v>713771</v>
      </c>
      <c r="J29" t="n">
        <v>798877</v>
      </c>
      <c r="K29" t="n">
        <v>885728</v>
      </c>
      <c r="L29" t="n">
        <v>992459</v>
      </c>
      <c r="M29" t="n">
        <v>1075400</v>
      </c>
      <c r="N29" t="n">
        <v>1101248</v>
      </c>
      <c r="O29" t="n">
        <v>1247959</v>
      </c>
      <c r="P29" t="n">
        <v>1370544</v>
      </c>
      <c r="Q29" t="n">
        <v>1565355</v>
      </c>
      <c r="R29" t="n">
        <v>1702608</v>
      </c>
      <c r="S29" t="n">
        <v>1718800</v>
      </c>
      <c r="T29" t="n">
        <v>1587214</v>
      </c>
      <c r="U29" t="n">
        <v>1620030</v>
      </c>
      <c r="V29" t="n">
        <v>1794060</v>
      </c>
      <c r="W29" t="n">
        <v>1854402</v>
      </c>
      <c r="X29" t="n">
        <v>1995259</v>
      </c>
      <c r="Y29" t="n">
        <v>2098348</v>
      </c>
      <c r="Z29" t="n">
        <v>2151435</v>
      </c>
      <c r="AA29" t="n">
        <v>2282703</v>
      </c>
      <c r="AB29" t="n">
        <v>2375330</v>
      </c>
      <c r="AC29" t="n">
        <v>2732673</v>
      </c>
      <c r="AD29" t="n">
        <v>2838609</v>
      </c>
      <c r="AE29" t="n">
        <v>2874437</v>
      </c>
      <c r="AF29" t="n">
        <v>3105855</v>
      </c>
    </row>
    <row r="30">
      <c r="A30" t="s">
        <v>6</v>
      </c>
      <c r="B30" t="s">
        <v>217</v>
      </c>
      <c r="C30" t="s">
        <v>129</v>
      </c>
      <c r="D30" t="s">
        <v>218</v>
      </c>
      <c r="E30" t="s">
        <v>130</v>
      </c>
      <c r="F30" t="n">
        <v>7560</v>
      </c>
      <c r="G30" t="n">
        <v>33437</v>
      </c>
      <c r="H30" t="n">
        <v>7510</v>
      </c>
      <c r="I30" t="n">
        <v>8305</v>
      </c>
      <c r="J30" t="n">
        <v>8344</v>
      </c>
      <c r="K30" t="n">
        <v>9065</v>
      </c>
      <c r="L30" t="n">
        <v>10359</v>
      </c>
      <c r="M30" t="n">
        <v>10883</v>
      </c>
      <c r="N30" t="n">
        <v>10983</v>
      </c>
      <c r="O30" t="n">
        <v>10391</v>
      </c>
      <c r="P30" t="n">
        <v>13585</v>
      </c>
      <c r="Q30" t="n">
        <v>13837</v>
      </c>
      <c r="R30" t="n">
        <v>14658</v>
      </c>
      <c r="S30" t="n">
        <v>17912</v>
      </c>
      <c r="T30" t="n">
        <v>20016</v>
      </c>
      <c r="U30" t="n">
        <v>21407</v>
      </c>
      <c r="V30" t="n">
        <v>18269</v>
      </c>
      <c r="W30" t="n">
        <v>20249</v>
      </c>
      <c r="X30" t="n">
        <v>21218</v>
      </c>
      <c r="Y30" t="n">
        <v>22032</v>
      </c>
      <c r="Z30" t="n">
        <v>22377</v>
      </c>
      <c r="AA30" t="n">
        <v>20572</v>
      </c>
      <c r="AB30" t="n">
        <v>22147</v>
      </c>
      <c r="AC30" t="n">
        <v>23487</v>
      </c>
      <c r="AD30" t="n">
        <v>29957</v>
      </c>
      <c r="AE30" t="n">
        <v>27412</v>
      </c>
      <c r="AF30" t="n">
        <v>25769</v>
      </c>
    </row>
    <row r="31">
      <c r="A31" t="s">
        <v>6</v>
      </c>
      <c r="B31" t="s">
        <v>219</v>
      </c>
      <c r="C31" t="s">
        <v>129</v>
      </c>
      <c r="D31" t="s">
        <v>220</v>
      </c>
      <c r="E31" t="s">
        <v>130</v>
      </c>
      <c r="F31" t="n">
        <v>41247</v>
      </c>
      <c r="G31" t="n">
        <v>50904</v>
      </c>
      <c r="H31" t="n">
        <v>62994</v>
      </c>
      <c r="I31" t="n">
        <v>74993</v>
      </c>
      <c r="J31" t="n">
        <v>88664</v>
      </c>
      <c r="K31" t="n">
        <v>108726</v>
      </c>
      <c r="L31" t="n">
        <v>104159</v>
      </c>
      <c r="M31" t="n">
        <v>107328</v>
      </c>
      <c r="N31" t="n">
        <v>116806</v>
      </c>
      <c r="O31" t="n">
        <v>140502</v>
      </c>
      <c r="P31" t="n">
        <v>158049</v>
      </c>
      <c r="Q31" t="n">
        <v>180448</v>
      </c>
      <c r="R31" t="n">
        <v>202214</v>
      </c>
      <c r="S31" t="n">
        <v>221680</v>
      </c>
      <c r="T31" t="n">
        <v>220287</v>
      </c>
      <c r="U31" t="n">
        <v>241673</v>
      </c>
      <c r="V31" t="n">
        <v>284224</v>
      </c>
      <c r="W31" t="n">
        <v>238525</v>
      </c>
      <c r="X31" t="n">
        <v>271880</v>
      </c>
      <c r="Y31" t="n">
        <v>327870</v>
      </c>
      <c r="Z31" t="n">
        <v>398932</v>
      </c>
      <c r="AA31" t="n">
        <v>449012</v>
      </c>
      <c r="AB31" t="n">
        <v>523230</v>
      </c>
      <c r="AC31" t="n">
        <v>631506</v>
      </c>
      <c r="AD31" t="n">
        <v>741330</v>
      </c>
      <c r="AE31" t="n">
        <v>323482</v>
      </c>
      <c r="AF31" t="n">
        <v>378574</v>
      </c>
    </row>
    <row r="32">
      <c r="A32" t="s">
        <v>6</v>
      </c>
      <c r="B32" t="s">
        <v>221</v>
      </c>
      <c r="C32" t="s">
        <v>129</v>
      </c>
      <c r="D32" t="s">
        <v>222</v>
      </c>
      <c r="E32" t="s">
        <v>130</v>
      </c>
      <c r="F32" t="n">
        <v>77723</v>
      </c>
      <c r="G32" t="n">
        <v>101251</v>
      </c>
      <c r="H32" t="n">
        <v>142736</v>
      </c>
      <c r="I32" t="n">
        <v>157655</v>
      </c>
      <c r="J32" t="n">
        <v>214009</v>
      </c>
      <c r="K32" t="n">
        <v>248091</v>
      </c>
      <c r="L32" t="n">
        <v>278761</v>
      </c>
      <c r="M32" t="n">
        <v>292700</v>
      </c>
      <c r="N32" t="n">
        <v>310638</v>
      </c>
      <c r="O32" t="n">
        <v>341182</v>
      </c>
      <c r="P32" t="n">
        <v>405243</v>
      </c>
      <c r="Q32" t="n">
        <v>480509</v>
      </c>
      <c r="R32" t="n">
        <v>542875</v>
      </c>
      <c r="S32" t="n">
        <v>847634</v>
      </c>
      <c r="T32" t="n">
        <v>860682</v>
      </c>
      <c r="U32" t="n">
        <v>941459</v>
      </c>
      <c r="V32" t="n">
        <v>1013329</v>
      </c>
      <c r="W32" t="n">
        <v>1049846</v>
      </c>
      <c r="X32" t="n">
        <v>1069386</v>
      </c>
      <c r="Y32" t="n">
        <v>1213774</v>
      </c>
      <c r="Z32" t="n">
        <v>1207822</v>
      </c>
      <c r="AA32" t="n">
        <v>1194737</v>
      </c>
      <c r="AB32" t="n">
        <v>1214484</v>
      </c>
      <c r="AC32" t="n">
        <v>1322353</v>
      </c>
      <c r="AD32" t="n">
        <v>1470968</v>
      </c>
      <c r="AE32" t="n">
        <v>1472469</v>
      </c>
      <c r="AF32" t="n">
        <v>1617226</v>
      </c>
    </row>
    <row r="33">
      <c r="A33" t="s">
        <v>6</v>
      </c>
      <c r="B33" t="s">
        <v>223</v>
      </c>
      <c r="C33" t="s">
        <v>129</v>
      </c>
      <c r="D33" t="s">
        <v>224</v>
      </c>
      <c r="E33" t="s">
        <v>130</v>
      </c>
      <c r="F33" t="n">
        <v>52921</v>
      </c>
      <c r="G33" t="n">
        <v>58238</v>
      </c>
      <c r="H33" t="n">
        <v>69657</v>
      </c>
      <c r="I33" t="n">
        <v>80312</v>
      </c>
      <c r="J33" t="n">
        <v>93488</v>
      </c>
      <c r="K33" t="n">
        <v>101955</v>
      </c>
      <c r="L33" t="n">
        <v>152590</v>
      </c>
      <c r="M33" t="n">
        <v>173406</v>
      </c>
      <c r="N33" t="n">
        <v>143453</v>
      </c>
      <c r="O33" t="n">
        <v>160863</v>
      </c>
      <c r="P33" t="n">
        <v>177737</v>
      </c>
      <c r="Q33" t="n">
        <v>193334</v>
      </c>
      <c r="R33" t="n">
        <v>195122</v>
      </c>
      <c r="S33" t="n">
        <v>208333</v>
      </c>
      <c r="T33" t="n">
        <v>200078</v>
      </c>
      <c r="U33" t="n">
        <v>205342</v>
      </c>
      <c r="V33" t="n">
        <v>209654</v>
      </c>
      <c r="W33" t="n">
        <v>209334</v>
      </c>
      <c r="X33" t="n">
        <v>211992</v>
      </c>
      <c r="Y33" t="n">
        <v>223187</v>
      </c>
      <c r="Z33" t="n">
        <v>229291</v>
      </c>
      <c r="AA33" t="n">
        <v>240013</v>
      </c>
      <c r="AB33" t="n">
        <v>242939</v>
      </c>
      <c r="AC33" t="n">
        <v>264487</v>
      </c>
      <c r="AD33" t="n">
        <v>291909</v>
      </c>
      <c r="AE33" t="n">
        <v>328763</v>
      </c>
      <c r="AF33" t="n">
        <v>442903</v>
      </c>
    </row>
    <row r="34">
      <c r="A34" t="s">
        <v>6</v>
      </c>
      <c r="B34" t="s">
        <v>225</v>
      </c>
      <c r="C34" t="s">
        <v>129</v>
      </c>
      <c r="D34" t="s">
        <v>226</v>
      </c>
      <c r="E34" t="s">
        <v>130</v>
      </c>
      <c r="F34" t="n">
        <v>263121</v>
      </c>
      <c r="G34" t="n">
        <v>318569</v>
      </c>
      <c r="H34" t="n">
        <v>364613</v>
      </c>
      <c r="I34" t="n">
        <v>426378</v>
      </c>
      <c r="J34" t="n">
        <v>492283</v>
      </c>
      <c r="K34" t="n">
        <v>557433</v>
      </c>
      <c r="L34" t="n">
        <v>632234</v>
      </c>
      <c r="M34" t="n">
        <v>749366</v>
      </c>
      <c r="N34" t="n">
        <v>774940</v>
      </c>
      <c r="O34" t="n">
        <v>849799</v>
      </c>
      <c r="P34" t="n">
        <v>902749</v>
      </c>
      <c r="Q34" t="n">
        <v>957966</v>
      </c>
      <c r="R34" t="n">
        <v>1034968</v>
      </c>
      <c r="S34" t="n">
        <v>1113489</v>
      </c>
      <c r="T34" t="n">
        <v>1090790</v>
      </c>
      <c r="U34" t="n">
        <v>1082653</v>
      </c>
      <c r="V34" t="n">
        <v>1097852</v>
      </c>
      <c r="W34" t="n">
        <v>1093557</v>
      </c>
      <c r="X34" t="n">
        <v>1127142</v>
      </c>
      <c r="Y34" t="n">
        <v>1235630</v>
      </c>
      <c r="Z34" t="n">
        <v>1349993</v>
      </c>
      <c r="AA34" t="n">
        <v>1443245</v>
      </c>
      <c r="AB34" t="n">
        <v>1606068</v>
      </c>
      <c r="AC34" t="n">
        <v>1801281</v>
      </c>
      <c r="AD34" t="n">
        <v>2015462</v>
      </c>
      <c r="AE34" t="n">
        <v>1477742</v>
      </c>
      <c r="AF34" t="n">
        <v>1957130</v>
      </c>
    </row>
    <row r="35">
      <c r="A35" t="s">
        <v>6</v>
      </c>
      <c r="B35" t="s">
        <v>227</v>
      </c>
      <c r="C35" t="s">
        <v>129</v>
      </c>
      <c r="D35" t="s">
        <v>228</v>
      </c>
      <c r="E35" t="s">
        <v>130</v>
      </c>
      <c r="F35" t="n">
        <v>340026</v>
      </c>
      <c r="G35" t="n">
        <v>463608</v>
      </c>
      <c r="H35" t="n">
        <v>646532</v>
      </c>
      <c r="I35" t="n">
        <v>770926</v>
      </c>
      <c r="J35" t="n">
        <v>950594</v>
      </c>
      <c r="K35" t="n">
        <v>1139275</v>
      </c>
      <c r="L35" t="n">
        <v>1279936</v>
      </c>
      <c r="M35" t="n">
        <v>1466586</v>
      </c>
      <c r="N35" t="n">
        <v>1617650</v>
      </c>
      <c r="O35" t="n">
        <v>1701088</v>
      </c>
      <c r="P35" t="n">
        <v>1868415</v>
      </c>
      <c r="Q35" t="n">
        <v>2020110</v>
      </c>
      <c r="R35" t="n">
        <v>2131495</v>
      </c>
      <c r="S35" t="n">
        <v>2160372</v>
      </c>
      <c r="T35" t="n">
        <v>2268416</v>
      </c>
      <c r="U35" t="n">
        <v>2164446</v>
      </c>
      <c r="V35" t="n">
        <v>2257305</v>
      </c>
      <c r="W35" t="n">
        <v>2274350</v>
      </c>
      <c r="X35" t="n">
        <v>2363068</v>
      </c>
      <c r="Y35" t="n">
        <v>2457038</v>
      </c>
      <c r="Z35" t="n">
        <v>2513781</v>
      </c>
      <c r="AA35" t="n">
        <v>2699298</v>
      </c>
      <c r="AB35" t="n">
        <v>2946026</v>
      </c>
      <c r="AC35" t="n">
        <v>3179690</v>
      </c>
      <c r="AD35" t="n">
        <v>3477903</v>
      </c>
      <c r="AE35" t="n">
        <v>3504380</v>
      </c>
      <c r="AF35" t="n">
        <v>4305955</v>
      </c>
    </row>
    <row r="36">
      <c r="A36" t="s">
        <v>6</v>
      </c>
      <c r="B36" t="s">
        <v>229</v>
      </c>
      <c r="C36" t="s">
        <v>129</v>
      </c>
      <c r="D36" t="s">
        <v>230</v>
      </c>
      <c r="E36" t="s">
        <v>130</v>
      </c>
      <c r="F36" t="n">
        <v>114162</v>
      </c>
      <c r="G36" t="n">
        <v>142093</v>
      </c>
      <c r="H36" t="n">
        <v>201845</v>
      </c>
      <c r="I36" t="n">
        <v>227223</v>
      </c>
      <c r="J36" t="n">
        <v>273768</v>
      </c>
      <c r="K36" t="n">
        <v>341030</v>
      </c>
      <c r="L36" t="n">
        <v>404854</v>
      </c>
      <c r="M36" t="n">
        <v>492092</v>
      </c>
      <c r="N36" t="n">
        <v>512490</v>
      </c>
      <c r="O36" t="n">
        <v>530091</v>
      </c>
      <c r="P36" t="n">
        <v>572363</v>
      </c>
      <c r="Q36" t="n">
        <v>605017</v>
      </c>
      <c r="R36" t="n">
        <v>653563</v>
      </c>
      <c r="S36" t="n">
        <v>606118</v>
      </c>
      <c r="T36" t="n">
        <v>678274</v>
      </c>
      <c r="U36" t="n">
        <v>688491</v>
      </c>
      <c r="V36" t="n">
        <v>720151</v>
      </c>
      <c r="W36" t="n">
        <v>764481</v>
      </c>
      <c r="X36" t="n">
        <v>737650</v>
      </c>
      <c r="Y36" t="n">
        <v>720894</v>
      </c>
      <c r="Z36" t="n">
        <v>666023</v>
      </c>
      <c r="AA36" t="n">
        <v>714298</v>
      </c>
      <c r="AB36" t="n">
        <v>822343</v>
      </c>
      <c r="AC36" t="n">
        <v>861230</v>
      </c>
      <c r="AD36" t="n">
        <v>883594</v>
      </c>
      <c r="AE36" t="n">
        <v>797489</v>
      </c>
      <c r="AF36" t="n">
        <v>1014807</v>
      </c>
    </row>
    <row r="37">
      <c r="A37" t="s">
        <v>6</v>
      </c>
      <c r="B37" t="s">
        <v>231</v>
      </c>
      <c r="C37" t="s">
        <v>129</v>
      </c>
      <c r="D37" t="s">
        <v>232</v>
      </c>
      <c r="E37" t="s">
        <v>130</v>
      </c>
      <c r="F37" t="n">
        <v>171117</v>
      </c>
      <c r="G37" t="n">
        <v>245686</v>
      </c>
      <c r="H37" t="n">
        <v>341714</v>
      </c>
      <c r="I37" t="n">
        <v>392495</v>
      </c>
      <c r="J37" t="n">
        <v>485785</v>
      </c>
      <c r="K37" t="n">
        <v>565309</v>
      </c>
      <c r="L37" t="n">
        <v>586622</v>
      </c>
      <c r="M37" t="n">
        <v>641116</v>
      </c>
      <c r="N37" t="n">
        <v>727957</v>
      </c>
      <c r="O37" t="n">
        <v>771929</v>
      </c>
      <c r="P37" t="n">
        <v>865651</v>
      </c>
      <c r="Q37" t="n">
        <v>904607</v>
      </c>
      <c r="R37" t="n">
        <v>906192</v>
      </c>
      <c r="S37" t="n">
        <v>915715</v>
      </c>
      <c r="T37" t="n">
        <v>875075</v>
      </c>
      <c r="U37" t="n">
        <v>761525</v>
      </c>
      <c r="V37" t="n">
        <v>770936</v>
      </c>
      <c r="W37" t="n">
        <v>699738</v>
      </c>
      <c r="X37" t="n">
        <v>742488</v>
      </c>
      <c r="Y37" t="n">
        <v>764150</v>
      </c>
      <c r="Z37" t="n">
        <v>805846</v>
      </c>
      <c r="AA37" t="n">
        <v>837005</v>
      </c>
      <c r="AB37" t="n">
        <v>857930</v>
      </c>
      <c r="AC37" t="n">
        <v>869370</v>
      </c>
      <c r="AD37" t="n">
        <v>908075</v>
      </c>
      <c r="AE37" t="n">
        <v>892334</v>
      </c>
      <c r="AF37" t="n">
        <v>1031117</v>
      </c>
    </row>
    <row r="38">
      <c r="A38" t="s">
        <v>6</v>
      </c>
      <c r="B38" t="s">
        <v>233</v>
      </c>
      <c r="C38" t="s">
        <v>129</v>
      </c>
      <c r="D38" t="s">
        <v>234</v>
      </c>
      <c r="E38" t="s">
        <v>130</v>
      </c>
      <c r="F38" t="n">
        <v>54747</v>
      </c>
      <c r="G38" t="n">
        <v>75829</v>
      </c>
      <c r="H38" t="n">
        <v>102973</v>
      </c>
      <c r="I38" t="n">
        <v>151208</v>
      </c>
      <c r="J38" t="n">
        <v>191041</v>
      </c>
      <c r="K38" t="n">
        <v>232936</v>
      </c>
      <c r="L38" t="n">
        <v>288460</v>
      </c>
      <c r="M38" t="n">
        <v>333378</v>
      </c>
      <c r="N38" t="n">
        <v>377203</v>
      </c>
      <c r="O38" t="n">
        <v>399068</v>
      </c>
      <c r="P38" t="n">
        <v>430401</v>
      </c>
      <c r="Q38" t="n">
        <v>510486</v>
      </c>
      <c r="R38" t="n">
        <v>571740</v>
      </c>
      <c r="S38" t="n">
        <v>638539</v>
      </c>
      <c r="T38" t="n">
        <v>715067</v>
      </c>
      <c r="U38" t="n">
        <v>714430</v>
      </c>
      <c r="V38" t="n">
        <v>766218</v>
      </c>
      <c r="W38" t="n">
        <v>810131</v>
      </c>
      <c r="X38" t="n">
        <v>882930</v>
      </c>
      <c r="Y38" t="n">
        <v>971994</v>
      </c>
      <c r="Z38" t="n">
        <v>1041912</v>
      </c>
      <c r="AA38" t="n">
        <v>1147995</v>
      </c>
      <c r="AB38" t="n">
        <v>1265753</v>
      </c>
      <c r="AC38" t="n">
        <v>1449090</v>
      </c>
      <c r="AD38" t="n">
        <v>1686234</v>
      </c>
      <c r="AE38" t="n">
        <v>1814557</v>
      </c>
      <c r="AF38" t="n">
        <v>2260031</v>
      </c>
    </row>
    <row r="39">
      <c r="A39" t="s">
        <v>6</v>
      </c>
      <c r="B39" t="s">
        <v>235</v>
      </c>
      <c r="C39" t="s">
        <v>129</v>
      </c>
      <c r="D39" t="s">
        <v>236</v>
      </c>
      <c r="E39" t="s">
        <v>130</v>
      </c>
      <c r="F39" t="n">
        <v>387818</v>
      </c>
      <c r="G39" t="n">
        <v>478174</v>
      </c>
      <c r="H39" t="n">
        <v>526938</v>
      </c>
      <c r="I39" t="n">
        <v>655601</v>
      </c>
      <c r="J39" t="n">
        <v>691373</v>
      </c>
      <c r="K39" t="n">
        <v>812744</v>
      </c>
      <c r="L39" t="n">
        <v>892594</v>
      </c>
      <c r="M39" t="n">
        <v>1046213</v>
      </c>
      <c r="N39" t="n">
        <v>1196181</v>
      </c>
      <c r="O39" t="n">
        <v>1322210</v>
      </c>
      <c r="P39" t="n">
        <v>1554350</v>
      </c>
      <c r="Q39" t="n">
        <v>1778656</v>
      </c>
      <c r="R39" t="n">
        <v>1881173</v>
      </c>
      <c r="S39" t="n">
        <v>1959438</v>
      </c>
      <c r="T39" t="n">
        <v>2079428</v>
      </c>
      <c r="U39" t="n">
        <v>2055855</v>
      </c>
      <c r="V39" t="n">
        <v>2032551</v>
      </c>
      <c r="W39" t="n">
        <v>1974227</v>
      </c>
      <c r="X39" t="n">
        <v>1911786</v>
      </c>
      <c r="Y39" t="n">
        <v>1973866</v>
      </c>
      <c r="Z39" t="n">
        <v>1984946</v>
      </c>
      <c r="AA39" t="n">
        <v>2024790</v>
      </c>
      <c r="AB39" t="n">
        <v>2168991</v>
      </c>
      <c r="AC39" t="n">
        <v>2358762</v>
      </c>
      <c r="AD39" t="n">
        <v>2648547</v>
      </c>
      <c r="AE39" t="n">
        <v>2774246</v>
      </c>
      <c r="AF39" t="n">
        <v>3114900</v>
      </c>
    </row>
    <row r="40">
      <c r="A40" t="s">
        <v>6</v>
      </c>
      <c r="B40" t="s">
        <v>237</v>
      </c>
      <c r="C40" t="s">
        <v>129</v>
      </c>
      <c r="D40" t="s">
        <v>238</v>
      </c>
      <c r="E40" t="s">
        <v>130</v>
      </c>
      <c r="F40" t="n">
        <v>458835</v>
      </c>
      <c r="G40" t="n">
        <v>623059</v>
      </c>
      <c r="H40" t="n">
        <v>791118</v>
      </c>
      <c r="I40" t="n">
        <v>926730</v>
      </c>
      <c r="J40" t="n">
        <v>1108206</v>
      </c>
      <c r="K40" t="n">
        <v>1380505</v>
      </c>
      <c r="L40" t="n">
        <v>1603110</v>
      </c>
      <c r="M40" t="n">
        <v>1774711</v>
      </c>
      <c r="N40" t="n">
        <v>1961653</v>
      </c>
      <c r="O40" t="n">
        <v>2108757</v>
      </c>
      <c r="P40" t="n">
        <v>2329802</v>
      </c>
      <c r="Q40" t="n">
        <v>2585152</v>
      </c>
      <c r="R40" t="n">
        <v>2768620</v>
      </c>
      <c r="S40" t="n">
        <v>2926990</v>
      </c>
      <c r="T40" t="n">
        <v>3029261</v>
      </c>
      <c r="U40" t="n">
        <v>3256637</v>
      </c>
      <c r="V40" t="n">
        <v>3215477</v>
      </c>
      <c r="W40" t="n">
        <v>3106709</v>
      </c>
      <c r="X40" t="n">
        <v>3176544</v>
      </c>
      <c r="Y40" t="n">
        <v>3288740</v>
      </c>
      <c r="Z40" t="n">
        <v>3480626</v>
      </c>
      <c r="AA40" t="n">
        <v>3772754</v>
      </c>
      <c r="AB40" t="n">
        <v>4146368</v>
      </c>
      <c r="AC40" t="n">
        <v>4790167</v>
      </c>
      <c r="AD40" t="n">
        <v>5586457</v>
      </c>
      <c r="AE40" t="n">
        <v>5832171</v>
      </c>
      <c r="AF40" t="n">
        <v>6617665</v>
      </c>
    </row>
    <row r="41">
      <c r="A41" t="s">
        <v>6</v>
      </c>
      <c r="B41" t="s">
        <v>239</v>
      </c>
      <c r="C41" t="s">
        <v>129</v>
      </c>
      <c r="D41" t="s">
        <v>240</v>
      </c>
      <c r="E41" t="s">
        <v>130</v>
      </c>
      <c r="F41" t="n">
        <v>337184</v>
      </c>
      <c r="G41" t="n">
        <v>442827</v>
      </c>
      <c r="H41" t="n">
        <v>540563</v>
      </c>
      <c r="I41" t="n">
        <v>602752</v>
      </c>
      <c r="J41" t="n">
        <v>707222</v>
      </c>
      <c r="K41" t="n">
        <v>824600</v>
      </c>
      <c r="L41" t="n">
        <v>932048</v>
      </c>
      <c r="M41" t="n">
        <v>1017581</v>
      </c>
      <c r="N41" t="n">
        <v>1127854</v>
      </c>
      <c r="O41" t="n">
        <v>1221545</v>
      </c>
      <c r="P41" t="n">
        <v>1317937</v>
      </c>
      <c r="Q41" t="n">
        <v>1470914</v>
      </c>
      <c r="R41" t="n">
        <v>1540401</v>
      </c>
      <c r="S41" t="n">
        <v>1604254</v>
      </c>
      <c r="T41" t="n">
        <v>1724384</v>
      </c>
      <c r="U41" t="n">
        <v>1972609</v>
      </c>
      <c r="V41" t="n">
        <v>1956388</v>
      </c>
      <c r="W41" t="n">
        <v>1926384</v>
      </c>
      <c r="X41" t="n">
        <v>1903379</v>
      </c>
      <c r="Y41" t="n">
        <v>1984005</v>
      </c>
      <c r="Z41" t="n">
        <v>2145380</v>
      </c>
      <c r="AA41" t="n">
        <v>2306536</v>
      </c>
      <c r="AB41" t="n">
        <v>2527270</v>
      </c>
      <c r="AC41" t="n">
        <v>2901909</v>
      </c>
      <c r="AD41" t="n">
        <v>3389646</v>
      </c>
      <c r="AE41" t="n">
        <v>3630608</v>
      </c>
      <c r="AF41" t="n">
        <v>4168242</v>
      </c>
    </row>
    <row r="42">
      <c r="A42" t="s">
        <v>6</v>
      </c>
      <c r="B42" t="s">
        <v>241</v>
      </c>
      <c r="C42" t="s">
        <v>129</v>
      </c>
      <c r="D42" t="s">
        <v>242</v>
      </c>
      <c r="E42" t="s">
        <v>130</v>
      </c>
      <c r="F42" t="n">
        <v>356126</v>
      </c>
      <c r="G42" t="n">
        <v>456192</v>
      </c>
      <c r="H42" t="n">
        <v>598416</v>
      </c>
      <c r="I42" t="n">
        <v>660581</v>
      </c>
      <c r="J42" t="n">
        <v>754800</v>
      </c>
      <c r="K42" t="n">
        <v>884501</v>
      </c>
      <c r="L42" t="n">
        <v>1139947</v>
      </c>
      <c r="M42" t="n">
        <v>1306620</v>
      </c>
      <c r="N42" t="n">
        <v>1473307</v>
      </c>
      <c r="O42" t="n">
        <v>1604417</v>
      </c>
      <c r="P42" t="n">
        <v>1745796</v>
      </c>
      <c r="Q42" t="n">
        <v>1926252</v>
      </c>
      <c r="R42" t="n">
        <v>1985417</v>
      </c>
      <c r="S42" t="n">
        <v>2179950</v>
      </c>
      <c r="T42" t="n">
        <v>2126231</v>
      </c>
      <c r="U42" t="n">
        <v>2211819</v>
      </c>
      <c r="V42" t="n">
        <v>2184174</v>
      </c>
      <c r="W42" t="n">
        <v>2147417</v>
      </c>
      <c r="X42" t="n">
        <v>2313312</v>
      </c>
      <c r="Y42" t="n">
        <v>2467574</v>
      </c>
      <c r="Z42" t="n">
        <v>2693110</v>
      </c>
      <c r="AA42" t="n">
        <v>2871710</v>
      </c>
      <c r="AB42" t="n">
        <v>3185810</v>
      </c>
      <c r="AC42" t="n">
        <v>3618868</v>
      </c>
      <c r="AD42" t="n">
        <v>4119782</v>
      </c>
      <c r="AE42" t="n">
        <v>4350514</v>
      </c>
      <c r="AF42" t="n">
        <v>5007758</v>
      </c>
    </row>
    <row r="43">
      <c r="A43" t="s">
        <v>6</v>
      </c>
      <c r="B43" t="s">
        <v>243</v>
      </c>
      <c r="C43" t="s">
        <v>129</v>
      </c>
      <c r="D43" t="s">
        <v>244</v>
      </c>
      <c r="E43" t="s">
        <v>130</v>
      </c>
      <c r="F43" t="n">
        <v>561362</v>
      </c>
      <c r="G43" t="n">
        <v>725375</v>
      </c>
      <c r="H43" t="n">
        <v>913930</v>
      </c>
      <c r="I43" t="n">
        <v>1021997</v>
      </c>
      <c r="J43" t="n">
        <v>1179531</v>
      </c>
      <c r="K43" t="n">
        <v>1400649</v>
      </c>
      <c r="L43" t="n">
        <v>1801628</v>
      </c>
      <c r="M43" t="n">
        <v>2064745</v>
      </c>
      <c r="N43" t="n">
        <v>2344975</v>
      </c>
      <c r="O43" t="n">
        <v>2559122</v>
      </c>
      <c r="P43" t="n">
        <v>2786734</v>
      </c>
      <c r="Q43" t="n">
        <v>3059829</v>
      </c>
      <c r="R43" t="n">
        <v>3153092</v>
      </c>
      <c r="S43" t="n">
        <v>3497991</v>
      </c>
      <c r="T43" t="n">
        <v>3434108</v>
      </c>
      <c r="U43" t="n">
        <v>3519028</v>
      </c>
      <c r="V43" t="n">
        <v>3550089</v>
      </c>
      <c r="W43" t="n">
        <v>3526592</v>
      </c>
      <c r="X43" t="n">
        <v>3774825</v>
      </c>
      <c r="Y43" t="n">
        <v>4065976</v>
      </c>
      <c r="Z43" t="n">
        <v>4451217</v>
      </c>
      <c r="AA43" t="n">
        <v>4748885</v>
      </c>
      <c r="AB43" t="n">
        <v>5314021</v>
      </c>
      <c r="AC43" t="n">
        <v>6043118</v>
      </c>
      <c r="AD43" t="n">
        <v>6768795</v>
      </c>
      <c r="AE43" t="n">
        <v>6628783</v>
      </c>
      <c r="AF43" t="n">
        <v>7849722</v>
      </c>
    </row>
    <row r="44">
      <c r="A44" t="s">
        <v>6</v>
      </c>
      <c r="B44" t="s">
        <v>245</v>
      </c>
      <c r="C44" t="s">
        <v>129</v>
      </c>
      <c r="D44" t="s">
        <v>246</v>
      </c>
      <c r="E44" t="s">
        <v>130</v>
      </c>
      <c r="F44" t="n">
        <v>9418478</v>
      </c>
      <c r="G44" t="n">
        <v>11685810</v>
      </c>
      <c r="H44" t="n">
        <v>14756527</v>
      </c>
      <c r="I44" t="n">
        <v>17636686</v>
      </c>
      <c r="J44" t="n">
        <v>20046386</v>
      </c>
      <c r="K44" t="n">
        <v>23564855</v>
      </c>
      <c r="L44" t="n">
        <v>26834897</v>
      </c>
      <c r="M44" t="n">
        <v>29099191</v>
      </c>
      <c r="N44" t="n">
        <v>31479053</v>
      </c>
      <c r="O44" t="n">
        <v>34680023</v>
      </c>
      <c r="P44" t="n">
        <v>38322925</v>
      </c>
      <c r="Q44" t="n">
        <v>42808929</v>
      </c>
      <c r="R44" t="n">
        <v>44626361</v>
      </c>
      <c r="S44" t="n">
        <v>47701061</v>
      </c>
      <c r="T44" t="n">
        <v>43783882</v>
      </c>
      <c r="U44" t="n">
        <v>46329842</v>
      </c>
      <c r="V44" t="n">
        <v>49704777</v>
      </c>
      <c r="W44" t="n">
        <v>49308786</v>
      </c>
      <c r="X44" t="n">
        <v>51633031</v>
      </c>
      <c r="Y44" t="n">
        <v>55550133</v>
      </c>
      <c r="Z44" t="n">
        <v>58500057</v>
      </c>
      <c r="AA44" t="n">
        <v>60199189</v>
      </c>
      <c r="AB44" t="n">
        <v>64646064</v>
      </c>
      <c r="AC44" t="n">
        <v>71339922</v>
      </c>
      <c r="AD44" t="n">
        <v>78241804</v>
      </c>
      <c r="AE44" t="n">
        <v>77773815</v>
      </c>
      <c r="AF44" t="n">
        <v>91626681</v>
      </c>
    </row>
    <row r="45">
      <c r="A45" t="s">
        <v>6</v>
      </c>
      <c r="B45" t="s">
        <v>247</v>
      </c>
      <c r="C45" t="s">
        <v>129</v>
      </c>
      <c r="D45" t="s">
        <v>248</v>
      </c>
      <c r="E45" t="s">
        <v>130</v>
      </c>
      <c r="F45" t="n">
        <v>8399568</v>
      </c>
      <c r="G45" t="n">
        <v>10373120</v>
      </c>
      <c r="H45" t="n">
        <v>13378288</v>
      </c>
      <c r="I45" t="n">
        <v>16122024</v>
      </c>
      <c r="J45" t="n">
        <v>18485707</v>
      </c>
      <c r="K45" t="n">
        <v>21885511</v>
      </c>
      <c r="L45" t="n">
        <v>24848812</v>
      </c>
      <c r="M45" t="n">
        <v>27118077</v>
      </c>
      <c r="N45" t="n">
        <v>29564404</v>
      </c>
      <c r="O45" t="n">
        <v>32561903</v>
      </c>
      <c r="P45" t="n">
        <v>36320951</v>
      </c>
      <c r="Q45" t="n">
        <v>40688939</v>
      </c>
      <c r="R45" t="n">
        <v>42372760</v>
      </c>
      <c r="S45" t="n">
        <v>45325733</v>
      </c>
      <c r="T45" t="n">
        <v>41661065</v>
      </c>
      <c r="U45" t="n">
        <v>44210469</v>
      </c>
      <c r="V45" t="n">
        <v>47066511</v>
      </c>
      <c r="W45" t="n">
        <v>46616669</v>
      </c>
      <c r="X45" t="n">
        <v>48776270</v>
      </c>
      <c r="Y45" t="n">
        <v>52573096</v>
      </c>
      <c r="Z45" t="n">
        <v>55489648</v>
      </c>
      <c r="AA45" t="n">
        <v>57077089</v>
      </c>
      <c r="AB45" t="n">
        <v>61473400</v>
      </c>
      <c r="AC45" t="n">
        <v>68005039</v>
      </c>
      <c r="AD45" t="n">
        <v>74727463</v>
      </c>
      <c r="AE45" t="n">
        <v>74109603</v>
      </c>
      <c r="AF45" t="n">
        <v>87354066</v>
      </c>
    </row>
    <row r="46">
      <c r="A46" t="s">
        <v>6</v>
      </c>
      <c r="B46" t="s">
        <v>249</v>
      </c>
      <c r="C46" t="s">
        <v>129</v>
      </c>
      <c r="D46" t="s">
        <v>250</v>
      </c>
      <c r="E46" t="s">
        <v>130</v>
      </c>
      <c r="F46" t="n">
        <v>205236</v>
      </c>
      <c r="G46" t="n">
        <v>269183</v>
      </c>
      <c r="H46" t="n">
        <v>315514</v>
      </c>
      <c r="I46" t="n">
        <v>361416</v>
      </c>
      <c r="J46" t="n">
        <v>424731</v>
      </c>
      <c r="K46" t="n">
        <v>516148</v>
      </c>
      <c r="L46" t="n">
        <v>661681</v>
      </c>
      <c r="M46" t="n">
        <v>758125</v>
      </c>
      <c r="N46" t="n">
        <v>871668</v>
      </c>
      <c r="O46" t="n">
        <v>954705</v>
      </c>
      <c r="P46" t="n">
        <v>1040938</v>
      </c>
      <c r="Q46" t="n">
        <v>1133577</v>
      </c>
      <c r="R46" t="n">
        <v>1167675</v>
      </c>
      <c r="S46" t="n">
        <v>1318041</v>
      </c>
      <c r="T46" t="n">
        <v>1307877</v>
      </c>
      <c r="U46" t="n">
        <v>1307209</v>
      </c>
      <c r="V46" t="n">
        <v>1365915</v>
      </c>
      <c r="W46" t="n">
        <v>1379175</v>
      </c>
      <c r="X46" t="n">
        <v>1461513</v>
      </c>
      <c r="Y46" t="n">
        <v>1598402</v>
      </c>
      <c r="Z46" t="n">
        <v>1758107</v>
      </c>
      <c r="AA46" t="n">
        <v>1877175</v>
      </c>
      <c r="AB46" t="n">
        <v>2128211</v>
      </c>
      <c r="AC46" t="n">
        <v>2424250</v>
      </c>
      <c r="AD46" t="n">
        <v>2649013</v>
      </c>
      <c r="AE46" t="n">
        <v>2278269</v>
      </c>
      <c r="AF46" t="n">
        <v>2841964</v>
      </c>
    </row>
    <row r="47">
      <c r="A47" t="s">
        <v>6</v>
      </c>
      <c r="B47" t="s">
        <v>251</v>
      </c>
      <c r="C47" t="s">
        <v>129</v>
      </c>
      <c r="D47" t="s">
        <v>252</v>
      </c>
      <c r="E47" t="s">
        <v>130</v>
      </c>
      <c r="F47" t="n">
        <v>615986</v>
      </c>
      <c r="G47" t="n">
        <v>719554</v>
      </c>
      <c r="H47" t="n">
        <v>844968</v>
      </c>
      <c r="I47" t="n">
        <v>1001807</v>
      </c>
      <c r="J47" t="n">
        <v>1152730</v>
      </c>
      <c r="K47" t="n">
        <v>1332437</v>
      </c>
      <c r="L47" t="n">
        <v>1530165</v>
      </c>
      <c r="M47" t="n">
        <v>1762487</v>
      </c>
      <c r="N47" t="n">
        <v>1932969</v>
      </c>
      <c r="O47" t="n">
        <v>2059249</v>
      </c>
      <c r="P47" t="n">
        <v>2197394</v>
      </c>
      <c r="Q47" t="n">
        <v>2405188</v>
      </c>
      <c r="R47" t="n">
        <v>2510760</v>
      </c>
      <c r="S47" t="n">
        <v>2761730</v>
      </c>
      <c r="T47" t="n">
        <v>2778049</v>
      </c>
      <c r="U47" t="n">
        <v>2794472</v>
      </c>
      <c r="V47" t="n">
        <v>2737463</v>
      </c>
      <c r="W47" t="n">
        <v>2695046</v>
      </c>
      <c r="X47" t="n">
        <v>2986407</v>
      </c>
      <c r="Y47" t="n">
        <v>3236804</v>
      </c>
      <c r="Z47" t="n">
        <v>3376938</v>
      </c>
      <c r="AA47" t="n">
        <v>3563395</v>
      </c>
      <c r="AB47" t="n">
        <v>3972458</v>
      </c>
      <c r="AC47" t="n">
        <v>4266811</v>
      </c>
      <c r="AD47" t="n">
        <v>4792841</v>
      </c>
      <c r="AE47" t="n">
        <v>4774216</v>
      </c>
      <c r="AF47" t="n">
        <v>5293577</v>
      </c>
    </row>
    <row r="48">
      <c r="A48" t="s">
        <v>6</v>
      </c>
      <c r="B48" t="s">
        <v>253</v>
      </c>
      <c r="C48" t="s">
        <v>129</v>
      </c>
      <c r="D48" t="s">
        <v>254</v>
      </c>
      <c r="E48" t="s">
        <v>130</v>
      </c>
      <c r="F48" t="n">
        <v>1326166</v>
      </c>
      <c r="G48" t="n">
        <v>1567993</v>
      </c>
      <c r="H48" t="n">
        <v>1813442</v>
      </c>
      <c r="I48" t="n">
        <v>2142690</v>
      </c>
      <c r="J48" t="n">
        <v>2446069</v>
      </c>
      <c r="K48" t="n">
        <v>2807777</v>
      </c>
      <c r="L48" t="n">
        <v>3226786</v>
      </c>
      <c r="M48" t="n">
        <v>3772965</v>
      </c>
      <c r="N48" t="n">
        <v>4316180</v>
      </c>
      <c r="O48" t="n">
        <v>4572922</v>
      </c>
      <c r="P48" t="n">
        <v>4922989</v>
      </c>
      <c r="Q48" t="n">
        <v>5243322</v>
      </c>
      <c r="R48" t="n">
        <v>5337789</v>
      </c>
      <c r="S48" t="n">
        <v>5770808</v>
      </c>
      <c r="T48" t="n">
        <v>5822146</v>
      </c>
      <c r="U48" t="n">
        <v>5847527</v>
      </c>
      <c r="V48" t="n">
        <v>5774074</v>
      </c>
      <c r="W48" t="n">
        <v>5856121</v>
      </c>
      <c r="X48" t="n">
        <v>6194925</v>
      </c>
      <c r="Y48" t="n">
        <v>6752170</v>
      </c>
      <c r="Z48" t="n">
        <v>7218295</v>
      </c>
      <c r="AA48" t="n">
        <v>7645974</v>
      </c>
      <c r="AB48" t="n">
        <v>8386102</v>
      </c>
      <c r="AC48" t="n">
        <v>9089683</v>
      </c>
      <c r="AD48" t="n">
        <v>10021731</v>
      </c>
      <c r="AE48" t="n">
        <v>10558392</v>
      </c>
      <c r="AF48" t="n">
        <v>11810217</v>
      </c>
    </row>
    <row r="49">
      <c r="A49" t="s">
        <v>6</v>
      </c>
      <c r="B49" t="s">
        <v>255</v>
      </c>
      <c r="C49" t="s">
        <v>129</v>
      </c>
      <c r="D49" t="s">
        <v>256</v>
      </c>
      <c r="E49" t="s">
        <v>130</v>
      </c>
      <c r="F49" t="n">
        <v>347313</v>
      </c>
      <c r="G49" t="n">
        <v>397542</v>
      </c>
      <c r="H49" t="n">
        <v>467732</v>
      </c>
      <c r="I49" t="n">
        <v>552711</v>
      </c>
      <c r="J49" t="n">
        <v>632585</v>
      </c>
      <c r="K49" t="n">
        <v>709147</v>
      </c>
      <c r="L49" t="n">
        <v>824559</v>
      </c>
      <c r="M49" t="n">
        <v>982483</v>
      </c>
      <c r="N49" t="n">
        <v>1166153</v>
      </c>
      <c r="O49" t="n">
        <v>1218876</v>
      </c>
      <c r="P49" t="n">
        <v>1324604</v>
      </c>
      <c r="Q49" t="n">
        <v>1390154</v>
      </c>
      <c r="R49" t="n">
        <v>1375652</v>
      </c>
      <c r="S49" t="n">
        <v>1453029</v>
      </c>
      <c r="T49" t="n">
        <v>1428030</v>
      </c>
      <c r="U49" t="n">
        <v>1428846</v>
      </c>
      <c r="V49" t="n">
        <v>1388451</v>
      </c>
      <c r="W49" t="n">
        <v>1388103</v>
      </c>
      <c r="X49" t="n">
        <v>1346455</v>
      </c>
      <c r="Y49" t="n">
        <v>1591533</v>
      </c>
      <c r="Z49" t="n">
        <v>1700974</v>
      </c>
      <c r="AA49" t="n">
        <v>1840462</v>
      </c>
      <c r="AB49" t="n">
        <v>1959248</v>
      </c>
      <c r="AC49" t="n">
        <v>2112043</v>
      </c>
      <c r="AD49" t="n">
        <v>2311487</v>
      </c>
      <c r="AE49" t="n">
        <v>2363572</v>
      </c>
      <c r="AF49" t="n">
        <v>2584210</v>
      </c>
    </row>
    <row r="50">
      <c r="A50" t="s">
        <v>6</v>
      </c>
      <c r="B50" t="s">
        <v>257</v>
      </c>
      <c r="C50" t="s">
        <v>129</v>
      </c>
      <c r="D50" t="s">
        <v>258</v>
      </c>
      <c r="E50" t="s">
        <v>130</v>
      </c>
      <c r="F50" t="n">
        <v>362867</v>
      </c>
      <c r="G50" t="n">
        <v>450897</v>
      </c>
      <c r="H50" t="n">
        <v>500742</v>
      </c>
      <c r="I50" t="n">
        <v>588172</v>
      </c>
      <c r="J50" t="n">
        <v>660754</v>
      </c>
      <c r="K50" t="n">
        <v>766193</v>
      </c>
      <c r="L50" t="n">
        <v>872062</v>
      </c>
      <c r="M50" t="n">
        <v>1027995</v>
      </c>
      <c r="N50" t="n">
        <v>1217058</v>
      </c>
      <c r="O50" t="n">
        <v>1294797</v>
      </c>
      <c r="P50" t="n">
        <v>1400991</v>
      </c>
      <c r="Q50" t="n">
        <v>1447980</v>
      </c>
      <c r="R50" t="n">
        <v>1451377</v>
      </c>
      <c r="S50" t="n">
        <v>1556049</v>
      </c>
      <c r="T50" t="n">
        <v>1616067</v>
      </c>
      <c r="U50" t="n">
        <v>1624209</v>
      </c>
      <c r="V50" t="n">
        <v>1648160</v>
      </c>
      <c r="W50" t="n">
        <v>1772972</v>
      </c>
      <c r="X50" t="n">
        <v>1862063</v>
      </c>
      <c r="Y50" t="n">
        <v>1923833</v>
      </c>
      <c r="Z50" t="n">
        <v>2140383</v>
      </c>
      <c r="AA50" t="n">
        <v>2242117</v>
      </c>
      <c r="AB50" t="n">
        <v>2454396</v>
      </c>
      <c r="AC50" t="n">
        <v>2710829</v>
      </c>
      <c r="AD50" t="n">
        <v>2917403</v>
      </c>
      <c r="AE50" t="n">
        <v>3420604</v>
      </c>
      <c r="AF50" t="n">
        <v>3932430</v>
      </c>
    </row>
    <row r="51">
      <c r="A51" t="s">
        <v>6</v>
      </c>
      <c r="B51" t="s">
        <v>259</v>
      </c>
      <c r="C51" t="s">
        <v>129</v>
      </c>
      <c r="D51" t="s">
        <v>260</v>
      </c>
      <c r="E51" t="s">
        <v>130</v>
      </c>
      <c r="F51" t="n">
        <v>293034</v>
      </c>
      <c r="G51" t="n">
        <v>368397</v>
      </c>
      <c r="H51" t="n">
        <v>404377</v>
      </c>
      <c r="I51" t="n">
        <v>473589</v>
      </c>
      <c r="J51" t="n">
        <v>536076</v>
      </c>
      <c r="K51" t="n">
        <v>625551</v>
      </c>
      <c r="L51" t="n">
        <v>706256</v>
      </c>
      <c r="M51" t="n">
        <v>831044</v>
      </c>
      <c r="N51" t="n">
        <v>973821</v>
      </c>
      <c r="O51" t="n">
        <v>1020504</v>
      </c>
      <c r="P51" t="n">
        <v>1098143</v>
      </c>
      <c r="Q51" t="n">
        <v>1124124</v>
      </c>
      <c r="R51" t="n">
        <v>1107751</v>
      </c>
      <c r="S51" t="n">
        <v>1194614</v>
      </c>
      <c r="T51" t="n">
        <v>1242380</v>
      </c>
      <c r="U51" t="n">
        <v>1253836</v>
      </c>
      <c r="V51" t="n">
        <v>1279145</v>
      </c>
      <c r="W51" t="n">
        <v>1396709</v>
      </c>
      <c r="X51" t="n">
        <v>1454245</v>
      </c>
      <c r="Y51" t="n">
        <v>1485668</v>
      </c>
      <c r="Z51" t="n">
        <v>1671123</v>
      </c>
      <c r="AA51" t="n">
        <v>1774939</v>
      </c>
      <c r="AB51" t="n">
        <v>1915550</v>
      </c>
      <c r="AC51" t="n">
        <v>2104202</v>
      </c>
      <c r="AD51" t="n">
        <v>2233467</v>
      </c>
      <c r="AE51" t="n">
        <v>2700392</v>
      </c>
      <c r="AF51" t="n">
        <v>3149502</v>
      </c>
    </row>
    <row r="52">
      <c r="A52" t="s">
        <v>6</v>
      </c>
      <c r="B52" t="s">
        <v>261</v>
      </c>
      <c r="C52" t="s">
        <v>129</v>
      </c>
      <c r="D52" t="s">
        <v>262</v>
      </c>
      <c r="E52" t="s">
        <v>130</v>
      </c>
      <c r="F52" t="n">
        <v>69833</v>
      </c>
      <c r="G52" t="n">
        <v>82500</v>
      </c>
      <c r="H52" t="n">
        <v>96365</v>
      </c>
      <c r="I52" t="n">
        <v>114583</v>
      </c>
      <c r="J52" t="n">
        <v>124678</v>
      </c>
      <c r="K52" t="n">
        <v>140642</v>
      </c>
      <c r="L52" t="n">
        <v>165806</v>
      </c>
      <c r="M52" t="n">
        <v>196951</v>
      </c>
      <c r="N52" t="n">
        <v>243237</v>
      </c>
      <c r="O52" t="n">
        <v>274293</v>
      </c>
      <c r="P52" t="n">
        <v>302848</v>
      </c>
      <c r="Q52" t="n">
        <v>323856</v>
      </c>
      <c r="R52" t="n">
        <v>343626</v>
      </c>
      <c r="S52" t="n">
        <v>361435</v>
      </c>
      <c r="T52" t="n">
        <v>373687</v>
      </c>
      <c r="U52" t="n">
        <v>370373</v>
      </c>
      <c r="V52" t="n">
        <v>369015</v>
      </c>
      <c r="W52" t="n">
        <v>376263</v>
      </c>
      <c r="X52" t="n">
        <v>407818</v>
      </c>
      <c r="Y52" t="n">
        <v>438165</v>
      </c>
      <c r="Z52" t="n">
        <v>469260</v>
      </c>
      <c r="AA52" t="n">
        <v>467178</v>
      </c>
      <c r="AB52" t="n">
        <v>538846</v>
      </c>
      <c r="AC52" t="n">
        <v>606627</v>
      </c>
      <c r="AD52" t="n">
        <v>683936</v>
      </c>
      <c r="AE52" t="n">
        <v>720212</v>
      </c>
      <c r="AF52" t="n">
        <v>782928</v>
      </c>
    </row>
    <row r="53">
      <c r="A53" t="s">
        <v>6</v>
      </c>
      <c r="B53" t="s">
        <v>263</v>
      </c>
      <c r="C53" t="s">
        <v>129</v>
      </c>
      <c r="D53" t="s">
        <v>264</v>
      </c>
      <c r="E53" t="s">
        <v>130</v>
      </c>
      <c r="F53" t="n">
        <v>153145</v>
      </c>
      <c r="G53" t="n">
        <v>183238</v>
      </c>
      <c r="H53" t="n">
        <v>181469</v>
      </c>
      <c r="I53" t="n">
        <v>238718</v>
      </c>
      <c r="J53" t="n">
        <v>255222</v>
      </c>
      <c r="K53" t="n">
        <v>304907</v>
      </c>
      <c r="L53" t="n">
        <v>341276</v>
      </c>
      <c r="M53" t="n">
        <v>422899</v>
      </c>
      <c r="N53" t="n">
        <v>424808</v>
      </c>
      <c r="O53" t="n">
        <v>434062</v>
      </c>
      <c r="P53" t="n">
        <v>465950</v>
      </c>
      <c r="Q53" t="n">
        <v>490243</v>
      </c>
      <c r="R53" t="n">
        <v>510382</v>
      </c>
      <c r="S53" t="n">
        <v>568803</v>
      </c>
      <c r="T53" t="n">
        <v>543174</v>
      </c>
      <c r="U53" t="n">
        <v>574908</v>
      </c>
      <c r="V53" t="n">
        <v>588896</v>
      </c>
      <c r="W53" t="n">
        <v>583687</v>
      </c>
      <c r="X53" t="n">
        <v>630294</v>
      </c>
      <c r="Y53" t="n">
        <v>693492</v>
      </c>
      <c r="Z53" t="n">
        <v>774820</v>
      </c>
      <c r="AA53" t="n">
        <v>876535</v>
      </c>
      <c r="AB53" t="n">
        <v>1092122</v>
      </c>
      <c r="AC53" t="n">
        <v>1142665</v>
      </c>
      <c r="AD53" t="n">
        <v>1233865</v>
      </c>
      <c r="AE53" t="n">
        <v>1099395</v>
      </c>
      <c r="AF53" t="n">
        <v>1358682</v>
      </c>
    </row>
    <row r="54">
      <c r="A54" t="s">
        <v>6</v>
      </c>
      <c r="B54" t="s">
        <v>265</v>
      </c>
      <c r="C54" t="s">
        <v>129</v>
      </c>
      <c r="D54" t="s">
        <v>266</v>
      </c>
      <c r="E54" t="s">
        <v>130</v>
      </c>
      <c r="F54" t="n">
        <v>344272</v>
      </c>
      <c r="G54" t="n">
        <v>398683</v>
      </c>
      <c r="H54" t="n">
        <v>441125</v>
      </c>
      <c r="I54" t="n">
        <v>536603</v>
      </c>
      <c r="J54" t="n">
        <v>588332</v>
      </c>
      <c r="K54" t="n">
        <v>652477</v>
      </c>
      <c r="L54" t="n">
        <v>750684</v>
      </c>
      <c r="M54" t="n">
        <v>870650</v>
      </c>
      <c r="N54" t="n">
        <v>891052</v>
      </c>
      <c r="O54" t="n">
        <v>948238</v>
      </c>
      <c r="P54" t="n">
        <v>1048582</v>
      </c>
      <c r="Q54" t="n">
        <v>1102016</v>
      </c>
      <c r="R54" t="n">
        <v>1149014</v>
      </c>
      <c r="S54" t="n">
        <v>1253522</v>
      </c>
      <c r="T54" t="n">
        <v>1245700</v>
      </c>
      <c r="U54" t="n">
        <v>1241510</v>
      </c>
      <c r="V54" t="n">
        <v>1257601</v>
      </c>
      <c r="W54" t="n">
        <v>1240503</v>
      </c>
      <c r="X54" t="n">
        <v>1324700</v>
      </c>
      <c r="Y54" t="n">
        <v>1435195</v>
      </c>
      <c r="Z54" t="n">
        <v>1570938</v>
      </c>
      <c r="AA54" t="n">
        <v>1679301</v>
      </c>
      <c r="AB54" t="n">
        <v>1928485</v>
      </c>
      <c r="AC54" t="n">
        <v>2050742</v>
      </c>
      <c r="AD54" t="n">
        <v>2246276</v>
      </c>
      <c r="AE54" t="n">
        <v>2034323</v>
      </c>
      <c r="AF54" t="n">
        <v>2430124</v>
      </c>
    </row>
    <row r="55">
      <c r="A55" t="s">
        <v>6</v>
      </c>
      <c r="B55" t="s">
        <v>267</v>
      </c>
      <c r="C55" t="s">
        <v>129</v>
      </c>
      <c r="D55" t="s">
        <v>268</v>
      </c>
      <c r="E55" t="s">
        <v>130</v>
      </c>
      <c r="F55" t="n">
        <v>191127</v>
      </c>
      <c r="G55" t="n">
        <v>215445</v>
      </c>
      <c r="H55" t="n">
        <v>259656</v>
      </c>
      <c r="I55" t="n">
        <v>297885</v>
      </c>
      <c r="J55" t="n">
        <v>333110</v>
      </c>
      <c r="K55" t="n">
        <v>347570</v>
      </c>
      <c r="L55" t="n">
        <v>409408</v>
      </c>
      <c r="M55" t="n">
        <v>447751</v>
      </c>
      <c r="N55" t="n">
        <v>466244</v>
      </c>
      <c r="O55" t="n">
        <v>514176</v>
      </c>
      <c r="P55" t="n">
        <v>582632</v>
      </c>
      <c r="Q55" t="n">
        <v>611773</v>
      </c>
      <c r="R55" t="n">
        <v>638632</v>
      </c>
      <c r="S55" t="n">
        <v>684719</v>
      </c>
      <c r="T55" t="n">
        <v>702526</v>
      </c>
      <c r="U55" t="n">
        <v>666602</v>
      </c>
      <c r="V55" t="n">
        <v>668705</v>
      </c>
      <c r="W55" t="n">
        <v>656816</v>
      </c>
      <c r="X55" t="n">
        <v>694406</v>
      </c>
      <c r="Y55" t="n">
        <v>741703</v>
      </c>
      <c r="Z55" t="n">
        <v>796118</v>
      </c>
      <c r="AA55" t="n">
        <v>802766</v>
      </c>
      <c r="AB55" t="n">
        <v>836363</v>
      </c>
      <c r="AC55" t="n">
        <v>908077</v>
      </c>
      <c r="AD55" t="n">
        <v>1012411</v>
      </c>
      <c r="AE55" t="n">
        <v>934928</v>
      </c>
      <c r="AF55" t="n">
        <v>1071442</v>
      </c>
    </row>
    <row r="56">
      <c r="A56" t="s">
        <v>6</v>
      </c>
      <c r="B56" t="s">
        <v>269</v>
      </c>
      <c r="C56" t="s">
        <v>129</v>
      </c>
      <c r="D56" t="s">
        <v>270</v>
      </c>
      <c r="E56" t="s">
        <v>130</v>
      </c>
      <c r="F56" t="n">
        <v>705</v>
      </c>
      <c r="G56" t="n">
        <v>898</v>
      </c>
      <c r="H56" t="n">
        <v>1269</v>
      </c>
      <c r="I56" t="n">
        <v>1566</v>
      </c>
      <c r="J56" t="n">
        <v>1790</v>
      </c>
      <c r="K56" t="n">
        <v>2277</v>
      </c>
      <c r="L56" t="n">
        <v>2950</v>
      </c>
      <c r="M56" t="n">
        <v>3400</v>
      </c>
      <c r="N56" t="n">
        <v>3380</v>
      </c>
      <c r="O56" t="n">
        <v>3404</v>
      </c>
      <c r="P56" t="n">
        <v>3200</v>
      </c>
      <c r="Q56" t="n">
        <v>3870</v>
      </c>
      <c r="R56" t="n">
        <v>3552</v>
      </c>
      <c r="S56" t="n">
        <v>3100</v>
      </c>
      <c r="T56" t="n">
        <v>2305</v>
      </c>
      <c r="U56" t="n">
        <v>3537</v>
      </c>
      <c r="V56" t="n">
        <v>3615</v>
      </c>
      <c r="W56" t="n">
        <v>3820</v>
      </c>
      <c r="X56" t="n">
        <v>3885</v>
      </c>
      <c r="Y56" t="n">
        <v>3885</v>
      </c>
      <c r="Z56" t="n">
        <v>5726</v>
      </c>
      <c r="AA56" t="n">
        <v>6410</v>
      </c>
      <c r="AB56" t="n">
        <v>6460</v>
      </c>
      <c r="AC56" t="n">
        <v>11888</v>
      </c>
      <c r="AD56" t="n">
        <v>8941</v>
      </c>
      <c r="AE56" t="n">
        <v>9133</v>
      </c>
      <c r="AF56" t="n">
        <v>8775</v>
      </c>
    </row>
    <row r="57">
      <c r="A57" t="s">
        <v>6</v>
      </c>
      <c r="B57" t="s">
        <v>271</v>
      </c>
      <c r="C57" t="s">
        <v>129</v>
      </c>
      <c r="D57" t="s">
        <v>272</v>
      </c>
      <c r="E57" t="s">
        <v>130</v>
      </c>
      <c r="F57" t="n">
        <v>11204184</v>
      </c>
      <c r="G57" t="n">
        <v>13877760</v>
      </c>
      <c r="H57" t="n">
        <v>17362356</v>
      </c>
      <c r="I57" t="n">
        <v>20707672</v>
      </c>
      <c r="J57" t="n">
        <v>23602451</v>
      </c>
      <c r="K57" t="n">
        <v>27755414</v>
      </c>
      <c r="L57" t="n">
        <v>31667743</v>
      </c>
      <c r="M57" t="n">
        <v>34650267</v>
      </c>
      <c r="N57" t="n">
        <v>37760266</v>
      </c>
      <c r="O57" t="n">
        <v>41365106</v>
      </c>
      <c r="P57" t="n">
        <v>45578916</v>
      </c>
      <c r="Q57" t="n">
        <v>50641273</v>
      </c>
      <c r="R57" t="n">
        <v>52736322</v>
      </c>
      <c r="S57" t="n">
        <v>56401959</v>
      </c>
      <c r="T57" t="n">
        <v>52637594</v>
      </c>
      <c r="U57" t="n">
        <v>55437543</v>
      </c>
      <c r="V57" t="n">
        <v>58697943</v>
      </c>
      <c r="W57" t="n">
        <v>58275436</v>
      </c>
      <c r="X57" t="n">
        <v>61008385</v>
      </c>
      <c r="Y57" t="n">
        <v>65594928</v>
      </c>
      <c r="Z57" t="n">
        <v>69204704</v>
      </c>
      <c r="AA57" t="n">
        <v>71624327</v>
      </c>
      <c r="AB57" t="n">
        <v>77184994</v>
      </c>
      <c r="AC57" t="n">
        <v>85231660</v>
      </c>
      <c r="AD57" t="n">
        <v>93858933</v>
      </c>
      <c r="AE57" t="n">
        <v>94173511</v>
      </c>
      <c r="AF57" t="n">
        <v>110063338</v>
      </c>
    </row>
    <row r="58">
      <c r="A58" t="s">
        <v>6</v>
      </c>
      <c r="B58" t="s">
        <v>273</v>
      </c>
      <c r="C58" t="s">
        <v>129</v>
      </c>
      <c r="D58" t="s">
        <v>274</v>
      </c>
      <c r="E58" t="s">
        <v>130</v>
      </c>
      <c r="F58" t="n">
        <v>11203479</v>
      </c>
      <c r="G58" t="n">
        <v>13876862</v>
      </c>
      <c r="H58" t="n">
        <v>17361087</v>
      </c>
      <c r="I58" t="n">
        <v>20706106</v>
      </c>
      <c r="J58" t="n">
        <v>23600661</v>
      </c>
      <c r="K58" t="n">
        <v>27753137</v>
      </c>
      <c r="L58" t="n">
        <v>31664793</v>
      </c>
      <c r="M58" t="n">
        <v>34646867</v>
      </c>
      <c r="N58" t="n">
        <v>37756886</v>
      </c>
      <c r="O58" t="n">
        <v>41361702</v>
      </c>
      <c r="P58" t="n">
        <v>45575716</v>
      </c>
      <c r="Q58" t="n">
        <v>50637403</v>
      </c>
      <c r="R58" t="n">
        <v>52732770</v>
      </c>
      <c r="S58" t="n">
        <v>56398859</v>
      </c>
      <c r="T58" t="n">
        <v>52635289</v>
      </c>
      <c r="U58" t="n">
        <v>55434006</v>
      </c>
      <c r="V58" t="n">
        <v>58694328</v>
      </c>
      <c r="W58" t="n">
        <v>58271616</v>
      </c>
      <c r="X58" t="n">
        <v>61004500</v>
      </c>
      <c r="Y58" t="n">
        <v>65591043</v>
      </c>
      <c r="Z58" t="n">
        <v>69198978</v>
      </c>
      <c r="AA58" t="n">
        <v>71617917</v>
      </c>
      <c r="AB58" t="n">
        <v>77178534</v>
      </c>
      <c r="AC58" t="n">
        <v>85219772</v>
      </c>
      <c r="AD58" t="n">
        <v>93849992</v>
      </c>
      <c r="AE58" t="n">
        <v>94164378</v>
      </c>
      <c r="AF58" t="n">
        <v>110054563</v>
      </c>
    </row>
    <row r="59">
      <c r="A59" t="s">
        <v>6</v>
      </c>
      <c r="B59" t="s">
        <v>275</v>
      </c>
      <c r="C59" t="s">
        <v>129</v>
      </c>
      <c r="D59" t="s">
        <v>276</v>
      </c>
      <c r="E59" t="s">
        <v>130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>
      <c r="A2" t="s">
        <v>8</v>
      </c>
      <c r="B2" t="s">
        <v>84</v>
      </c>
      <c r="C2" t="s">
        <v>129</v>
      </c>
      <c r="D2" t="s">
        <v>86</v>
      </c>
      <c r="E2" t="s">
        <v>130</v>
      </c>
      <c r="F2" t="n">
        <v>592613</v>
      </c>
      <c r="G2" t="n">
        <v>784223</v>
      </c>
      <c r="H2" t="n">
        <v>802951</v>
      </c>
      <c r="I2" t="n">
        <v>868926</v>
      </c>
      <c r="J2" t="n">
        <v>925822</v>
      </c>
      <c r="K2" t="n">
        <v>1003558</v>
      </c>
      <c r="L2" t="n">
        <v>1210893</v>
      </c>
      <c r="M2" t="n">
        <v>1218978</v>
      </c>
      <c r="N2" t="n">
        <v>1168207</v>
      </c>
      <c r="O2" t="n">
        <v>1199321</v>
      </c>
      <c r="P2" t="n">
        <v>1161119</v>
      </c>
      <c r="Q2" t="n">
        <v>1259298</v>
      </c>
      <c r="R2" t="n">
        <v>1356164</v>
      </c>
      <c r="S2" t="n">
        <v>1428117</v>
      </c>
      <c r="T2" t="n">
        <v>1330033</v>
      </c>
      <c r="U2" t="n">
        <v>1294596</v>
      </c>
      <c r="V2" t="n">
        <v>1506270</v>
      </c>
      <c r="W2" t="n">
        <v>1567592</v>
      </c>
      <c r="X2" t="n">
        <v>1666532</v>
      </c>
      <c r="Y2" t="n">
        <v>1681923</v>
      </c>
      <c r="Z2" t="n">
        <v>1694508</v>
      </c>
      <c r="AA2" t="n">
        <v>1717656</v>
      </c>
      <c r="AB2" t="n">
        <v>1697981</v>
      </c>
      <c r="AC2" t="n">
        <v>1822851</v>
      </c>
      <c r="AD2" t="n">
        <v>1920295</v>
      </c>
      <c r="AE2" t="n">
        <v>2023028</v>
      </c>
      <c r="AF2" t="n">
        <v>2351573</v>
      </c>
    </row>
    <row r="3">
      <c r="A3" t="s">
        <v>8</v>
      </c>
      <c r="B3" t="s">
        <v>163</v>
      </c>
      <c r="C3" t="s">
        <v>129</v>
      </c>
      <c r="D3" t="s">
        <v>164</v>
      </c>
      <c r="E3" t="s">
        <v>130</v>
      </c>
      <c r="F3" t="n">
        <v>29231</v>
      </c>
      <c r="G3" t="n">
        <v>36962</v>
      </c>
      <c r="H3" t="n">
        <v>42407</v>
      </c>
      <c r="I3" t="n">
        <v>42038</v>
      </c>
      <c r="J3" t="n">
        <v>44453</v>
      </c>
      <c r="K3" t="n">
        <v>47312</v>
      </c>
      <c r="L3" t="n">
        <v>55147</v>
      </c>
      <c r="M3" t="n">
        <v>54353</v>
      </c>
      <c r="N3" t="n">
        <v>53410</v>
      </c>
      <c r="O3" t="n">
        <v>59068</v>
      </c>
      <c r="P3" t="n">
        <v>70116</v>
      </c>
      <c r="Q3" t="n">
        <v>99160</v>
      </c>
      <c r="R3" t="n">
        <v>94543</v>
      </c>
      <c r="S3" t="n">
        <v>87240</v>
      </c>
      <c r="T3" t="n">
        <v>81332</v>
      </c>
      <c r="U3" t="n">
        <v>51444</v>
      </c>
      <c r="V3" t="n">
        <v>50387</v>
      </c>
      <c r="W3" t="n">
        <v>48272</v>
      </c>
      <c r="X3" t="n">
        <v>57485</v>
      </c>
      <c r="Y3" t="n">
        <v>63665</v>
      </c>
      <c r="Z3" t="n">
        <v>55265</v>
      </c>
      <c r="AA3" t="n">
        <v>43270</v>
      </c>
      <c r="AB3" t="n">
        <v>55313</v>
      </c>
      <c r="AC3" t="n">
        <v>94210</v>
      </c>
      <c r="AD3" t="n">
        <v>111681</v>
      </c>
      <c r="AE3" t="n">
        <v>97783</v>
      </c>
      <c r="AF3" t="n">
        <v>106274</v>
      </c>
    </row>
    <row r="4">
      <c r="A4" t="s">
        <v>8</v>
      </c>
      <c r="B4" t="s">
        <v>165</v>
      </c>
      <c r="C4" t="s">
        <v>129</v>
      </c>
      <c r="D4" t="s">
        <v>166</v>
      </c>
      <c r="E4" t="s">
        <v>130</v>
      </c>
      <c r="F4" t="n">
        <v>2656745</v>
      </c>
      <c r="G4" t="n">
        <v>3297403</v>
      </c>
      <c r="H4" t="n">
        <v>4448476</v>
      </c>
      <c r="I4" t="n">
        <v>5570715</v>
      </c>
      <c r="J4" t="n">
        <v>6671281</v>
      </c>
      <c r="K4" t="n">
        <v>8484503</v>
      </c>
      <c r="L4" t="n">
        <v>9159810</v>
      </c>
      <c r="M4" t="n">
        <v>9286317</v>
      </c>
      <c r="N4" t="n">
        <v>10346054</v>
      </c>
      <c r="O4" t="n">
        <v>11386120</v>
      </c>
      <c r="P4" t="n">
        <v>12885172</v>
      </c>
      <c r="Q4" t="n">
        <v>15006903</v>
      </c>
      <c r="R4" t="n">
        <v>15590087</v>
      </c>
      <c r="S4" t="n">
        <v>16380861</v>
      </c>
      <c r="T4" t="n">
        <v>13768746</v>
      </c>
      <c r="U4" t="n">
        <v>16273978</v>
      </c>
      <c r="V4" t="n">
        <v>18233373</v>
      </c>
      <c r="W4" t="n">
        <v>17942309</v>
      </c>
      <c r="X4" t="n">
        <v>18560422</v>
      </c>
      <c r="Y4" t="n">
        <v>19946455</v>
      </c>
      <c r="Z4" t="n">
        <v>20940485</v>
      </c>
      <c r="AA4" t="n">
        <v>21502097</v>
      </c>
      <c r="AB4" t="n">
        <v>22588308</v>
      </c>
      <c r="AC4" t="n">
        <v>24460701</v>
      </c>
      <c r="AD4" t="n">
        <v>26658072</v>
      </c>
      <c r="AE4" t="n">
        <v>26427903</v>
      </c>
      <c r="AF4" t="n">
        <v>31694517</v>
      </c>
    </row>
    <row r="5">
      <c r="A5" t="s">
        <v>8</v>
      </c>
      <c r="B5" t="s">
        <v>167</v>
      </c>
      <c r="C5" t="s">
        <v>129</v>
      </c>
      <c r="D5" t="s">
        <v>168</v>
      </c>
      <c r="E5" t="s">
        <v>130</v>
      </c>
      <c r="F5" t="n">
        <v>784295</v>
      </c>
      <c r="G5" t="n">
        <v>957455</v>
      </c>
      <c r="H5" t="n">
        <v>1084048</v>
      </c>
      <c r="I5" t="n">
        <v>1175398</v>
      </c>
      <c r="J5" t="n">
        <v>1167476</v>
      </c>
      <c r="K5" t="n">
        <v>1392013</v>
      </c>
      <c r="L5" t="n">
        <v>1591642</v>
      </c>
      <c r="M5" t="n">
        <v>1632137</v>
      </c>
      <c r="N5" t="n">
        <v>1709739</v>
      </c>
      <c r="O5" t="n">
        <v>1721459</v>
      </c>
      <c r="P5" t="n">
        <v>1711140</v>
      </c>
      <c r="Q5" t="n">
        <v>1817696</v>
      </c>
      <c r="R5" t="n">
        <v>1794210</v>
      </c>
      <c r="S5" t="n">
        <v>2016200</v>
      </c>
      <c r="T5" t="n">
        <v>1900818</v>
      </c>
      <c r="U5" t="n">
        <v>1862838</v>
      </c>
      <c r="V5" t="n">
        <v>2164540</v>
      </c>
      <c r="W5" t="n">
        <v>2370242</v>
      </c>
      <c r="X5" t="n">
        <v>2486008</v>
      </c>
      <c r="Y5" t="n">
        <v>2414717</v>
      </c>
      <c r="Z5" t="n">
        <v>2478978</v>
      </c>
      <c r="AA5" t="n">
        <v>2578787</v>
      </c>
      <c r="AB5" t="n">
        <v>2666278</v>
      </c>
      <c r="AC5" t="n">
        <v>2792862</v>
      </c>
      <c r="AD5" t="n">
        <v>3019831</v>
      </c>
      <c r="AE5" t="n">
        <v>3202461</v>
      </c>
      <c r="AF5" t="n">
        <v>3734243</v>
      </c>
    </row>
    <row r="6">
      <c r="A6" t="s">
        <v>8</v>
      </c>
      <c r="B6" t="s">
        <v>169</v>
      </c>
      <c r="C6" t="s">
        <v>129</v>
      </c>
      <c r="D6" t="s">
        <v>170</v>
      </c>
      <c r="E6" t="s">
        <v>130</v>
      </c>
      <c r="F6" t="n">
        <v>112058</v>
      </c>
      <c r="G6" t="n">
        <v>123752</v>
      </c>
      <c r="H6" t="n">
        <v>161648</v>
      </c>
      <c r="I6" t="n">
        <v>209559</v>
      </c>
      <c r="J6" t="n">
        <v>237154</v>
      </c>
      <c r="K6" t="n">
        <v>291948</v>
      </c>
      <c r="L6" t="n">
        <v>329495</v>
      </c>
      <c r="M6" t="n">
        <v>292515</v>
      </c>
      <c r="N6" t="n">
        <v>280015</v>
      </c>
      <c r="O6" t="n">
        <v>270953</v>
      </c>
      <c r="P6" t="n">
        <v>259447</v>
      </c>
      <c r="Q6" t="n">
        <v>281027</v>
      </c>
      <c r="R6" t="n">
        <v>282129</v>
      </c>
      <c r="S6" t="n">
        <v>237571</v>
      </c>
      <c r="T6" t="n">
        <v>196370</v>
      </c>
      <c r="U6" t="n">
        <v>188893</v>
      </c>
      <c r="V6" t="n">
        <v>235919</v>
      </c>
      <c r="W6" t="n">
        <v>226148</v>
      </c>
      <c r="X6" t="n">
        <v>232285</v>
      </c>
      <c r="Y6" t="n">
        <v>264041</v>
      </c>
      <c r="Z6" t="n">
        <v>279768</v>
      </c>
      <c r="AA6" t="n">
        <v>293054</v>
      </c>
      <c r="AB6" t="n">
        <v>315413</v>
      </c>
      <c r="AC6" t="n">
        <v>316167</v>
      </c>
      <c r="AD6" t="n">
        <v>291877</v>
      </c>
      <c r="AE6" t="n">
        <v>260165</v>
      </c>
      <c r="AF6" t="n">
        <v>300972</v>
      </c>
    </row>
    <row r="7">
      <c r="A7" t="s">
        <v>8</v>
      </c>
      <c r="B7" t="s">
        <v>171</v>
      </c>
      <c r="C7" t="s">
        <v>129</v>
      </c>
      <c r="D7" t="s">
        <v>172</v>
      </c>
      <c r="E7" t="s">
        <v>130</v>
      </c>
      <c r="F7" t="n">
        <v>179125</v>
      </c>
      <c r="G7" t="n">
        <v>200436</v>
      </c>
      <c r="H7" t="n">
        <v>244109</v>
      </c>
      <c r="I7" t="n">
        <v>273523</v>
      </c>
      <c r="J7" t="n">
        <v>327410</v>
      </c>
      <c r="K7" t="n">
        <v>399978</v>
      </c>
      <c r="L7" t="n">
        <v>460639</v>
      </c>
      <c r="M7" t="n">
        <v>454258</v>
      </c>
      <c r="N7" t="n">
        <v>479196</v>
      </c>
      <c r="O7" t="n">
        <v>499064</v>
      </c>
      <c r="P7" t="n">
        <v>522809</v>
      </c>
      <c r="Q7" t="n">
        <v>568134</v>
      </c>
      <c r="R7" t="n">
        <v>566659</v>
      </c>
      <c r="S7" t="n">
        <v>543691</v>
      </c>
      <c r="T7" t="n">
        <v>514466</v>
      </c>
      <c r="U7" t="n">
        <v>584810</v>
      </c>
      <c r="V7" t="n">
        <v>631056</v>
      </c>
      <c r="W7" t="n">
        <v>569395</v>
      </c>
      <c r="X7" t="n">
        <v>582987</v>
      </c>
      <c r="Y7" t="n">
        <v>630942</v>
      </c>
      <c r="Z7" t="n">
        <v>672016</v>
      </c>
      <c r="AA7" t="n">
        <v>717357</v>
      </c>
      <c r="AB7" t="n">
        <v>747149</v>
      </c>
      <c r="AC7" t="n">
        <v>799593</v>
      </c>
      <c r="AD7" t="n">
        <v>817936</v>
      </c>
      <c r="AE7" t="n">
        <v>830059</v>
      </c>
      <c r="AF7" t="n">
        <v>1045440</v>
      </c>
    </row>
    <row r="8">
      <c r="A8" t="s">
        <v>8</v>
      </c>
      <c r="B8" t="s">
        <v>173</v>
      </c>
      <c r="C8" t="s">
        <v>129</v>
      </c>
      <c r="D8" t="s">
        <v>174</v>
      </c>
      <c r="E8" t="s">
        <v>130</v>
      </c>
      <c r="F8" t="n">
        <v>139543</v>
      </c>
      <c r="G8" t="n">
        <v>191567</v>
      </c>
      <c r="H8" t="n">
        <v>237191</v>
      </c>
      <c r="I8" t="n">
        <v>246181</v>
      </c>
      <c r="J8" t="n">
        <v>305018</v>
      </c>
      <c r="K8" t="n">
        <v>503984</v>
      </c>
      <c r="L8" t="n">
        <v>471455</v>
      </c>
      <c r="M8" t="n">
        <v>441372</v>
      </c>
      <c r="N8" t="n">
        <v>486023</v>
      </c>
      <c r="O8" t="n">
        <v>518210</v>
      </c>
      <c r="P8" t="n">
        <v>812626</v>
      </c>
      <c r="Q8" t="n">
        <v>988753</v>
      </c>
      <c r="R8" t="n">
        <v>1028919</v>
      </c>
      <c r="S8" t="n">
        <v>1276850</v>
      </c>
      <c r="T8" t="n">
        <v>933137</v>
      </c>
      <c r="U8" t="n">
        <v>1255465</v>
      </c>
      <c r="V8" t="n">
        <v>1640575</v>
      </c>
      <c r="W8" t="n">
        <v>1655000</v>
      </c>
      <c r="X8" t="n">
        <v>1609293</v>
      </c>
      <c r="Y8" t="n">
        <v>1565373</v>
      </c>
      <c r="Z8" t="n">
        <v>1075552</v>
      </c>
      <c r="AA8" t="n">
        <v>931196</v>
      </c>
      <c r="AB8" t="n">
        <v>1166894</v>
      </c>
      <c r="AC8" t="n">
        <v>1497123</v>
      </c>
      <c r="AD8" t="n">
        <v>1455581</v>
      </c>
      <c r="AE8" t="n">
        <v>1097021</v>
      </c>
      <c r="AF8" t="n">
        <v>1566005</v>
      </c>
    </row>
    <row r="9">
      <c r="A9" t="s">
        <v>8</v>
      </c>
      <c r="B9" t="s">
        <v>175</v>
      </c>
      <c r="C9" t="s">
        <v>129</v>
      </c>
      <c r="D9" t="s">
        <v>176</v>
      </c>
      <c r="E9" t="s">
        <v>130</v>
      </c>
      <c r="F9" t="n">
        <v>172286</v>
      </c>
      <c r="G9" t="n">
        <v>196805</v>
      </c>
      <c r="H9" t="n">
        <v>239984</v>
      </c>
      <c r="I9" t="n">
        <v>247286</v>
      </c>
      <c r="J9" t="n">
        <v>275955</v>
      </c>
      <c r="K9" t="n">
        <v>407941</v>
      </c>
      <c r="L9" t="n">
        <v>390439</v>
      </c>
      <c r="M9" t="n">
        <v>390312</v>
      </c>
      <c r="N9" t="n">
        <v>408171</v>
      </c>
      <c r="O9" t="n">
        <v>470471</v>
      </c>
      <c r="P9" t="n">
        <v>594592</v>
      </c>
      <c r="Q9" t="n">
        <v>683822</v>
      </c>
      <c r="R9" t="n">
        <v>714859</v>
      </c>
      <c r="S9" t="n">
        <v>753679</v>
      </c>
      <c r="T9" t="n">
        <v>633756</v>
      </c>
      <c r="U9" t="n">
        <v>813616</v>
      </c>
      <c r="V9" t="n">
        <v>982216</v>
      </c>
      <c r="W9" t="n">
        <v>1104862</v>
      </c>
      <c r="X9" t="n">
        <v>1194257</v>
      </c>
      <c r="Y9" t="n">
        <v>1256219</v>
      </c>
      <c r="Z9" t="n">
        <v>1169695</v>
      </c>
      <c r="AA9" t="n">
        <v>1133774</v>
      </c>
      <c r="AB9" t="n">
        <v>1123790</v>
      </c>
      <c r="AC9" t="n">
        <v>1248196</v>
      </c>
      <c r="AD9" t="n">
        <v>1232093</v>
      </c>
      <c r="AE9" t="n">
        <v>1187222</v>
      </c>
      <c r="AF9" t="n">
        <v>1900179</v>
      </c>
    </row>
    <row r="10">
      <c r="A10" t="s">
        <v>8</v>
      </c>
      <c r="B10" t="s">
        <v>177</v>
      </c>
      <c r="C10" t="s">
        <v>129</v>
      </c>
      <c r="D10" t="s">
        <v>178</v>
      </c>
      <c r="E10" t="s">
        <v>130</v>
      </c>
      <c r="F10" t="n">
        <v>238224</v>
      </c>
      <c r="G10" t="n">
        <v>274679</v>
      </c>
      <c r="H10" t="n">
        <v>339137</v>
      </c>
      <c r="I10" t="n">
        <v>355963</v>
      </c>
      <c r="J10" t="n">
        <v>387828</v>
      </c>
      <c r="K10" t="n">
        <v>539474</v>
      </c>
      <c r="L10" t="n">
        <v>535664</v>
      </c>
      <c r="M10" t="n">
        <v>542701</v>
      </c>
      <c r="N10" t="n">
        <v>580370</v>
      </c>
      <c r="O10" t="n">
        <v>673256</v>
      </c>
      <c r="P10" t="n">
        <v>823277</v>
      </c>
      <c r="Q10" t="n">
        <v>957260</v>
      </c>
      <c r="R10" t="n">
        <v>983423</v>
      </c>
      <c r="S10" t="n">
        <v>1064813</v>
      </c>
      <c r="T10" t="n">
        <v>988313</v>
      </c>
      <c r="U10" t="n">
        <v>1171695</v>
      </c>
      <c r="V10" t="n">
        <v>1407396</v>
      </c>
      <c r="W10" t="n">
        <v>1558419</v>
      </c>
      <c r="X10" t="n">
        <v>1654351</v>
      </c>
      <c r="Y10" t="n">
        <v>1722171</v>
      </c>
      <c r="Z10" t="n">
        <v>1669720</v>
      </c>
      <c r="AA10" t="n">
        <v>1655474</v>
      </c>
      <c r="AB10" t="n">
        <v>1654634</v>
      </c>
      <c r="AC10" t="n">
        <v>1802566</v>
      </c>
      <c r="AD10" t="n">
        <v>1820841</v>
      </c>
      <c r="AE10" t="n">
        <v>1808843</v>
      </c>
      <c r="AF10" t="n">
        <v>2613225</v>
      </c>
    </row>
    <row r="11">
      <c r="A11" t="s">
        <v>8</v>
      </c>
      <c r="B11" t="s">
        <v>179</v>
      </c>
      <c r="C11" t="s">
        <v>129</v>
      </c>
      <c r="D11" t="s">
        <v>180</v>
      </c>
      <c r="E11" t="s">
        <v>130</v>
      </c>
      <c r="F11" t="n">
        <v>65938</v>
      </c>
      <c r="G11" t="n">
        <v>77874</v>
      </c>
      <c r="H11" t="n">
        <v>99153</v>
      </c>
      <c r="I11" t="n">
        <v>108677</v>
      </c>
      <c r="J11" t="n">
        <v>111873</v>
      </c>
      <c r="K11" t="n">
        <v>131533</v>
      </c>
      <c r="L11" t="n">
        <v>145225</v>
      </c>
      <c r="M11" t="n">
        <v>152389</v>
      </c>
      <c r="N11" t="n">
        <v>172199</v>
      </c>
      <c r="O11" t="n">
        <v>202785</v>
      </c>
      <c r="P11" t="n">
        <v>228685</v>
      </c>
      <c r="Q11" t="n">
        <v>273438</v>
      </c>
      <c r="R11" t="n">
        <v>268564</v>
      </c>
      <c r="S11" t="n">
        <v>311134</v>
      </c>
      <c r="T11" t="n">
        <v>354557</v>
      </c>
      <c r="U11" t="n">
        <v>358079</v>
      </c>
      <c r="V11" t="n">
        <v>425180</v>
      </c>
      <c r="W11" t="n">
        <v>453557</v>
      </c>
      <c r="X11" t="n">
        <v>460094</v>
      </c>
      <c r="Y11" t="n">
        <v>465952</v>
      </c>
      <c r="Z11" t="n">
        <v>500025</v>
      </c>
      <c r="AA11" t="n">
        <v>521700</v>
      </c>
      <c r="AB11" t="n">
        <v>530844</v>
      </c>
      <c r="AC11" t="n">
        <v>554370</v>
      </c>
      <c r="AD11" t="n">
        <v>588748</v>
      </c>
      <c r="AE11" t="n">
        <v>621621</v>
      </c>
      <c r="AF11" t="n">
        <v>713046</v>
      </c>
    </row>
    <row r="12">
      <c r="A12" t="s">
        <v>8</v>
      </c>
      <c r="B12" t="s">
        <v>181</v>
      </c>
      <c r="C12" t="s">
        <v>129</v>
      </c>
      <c r="D12" t="s">
        <v>182</v>
      </c>
      <c r="E12" t="s">
        <v>130</v>
      </c>
      <c r="F12" t="n">
        <v>187355</v>
      </c>
      <c r="G12" t="n">
        <v>229068</v>
      </c>
      <c r="H12" t="n">
        <v>279877</v>
      </c>
      <c r="I12" t="n">
        <v>347207</v>
      </c>
      <c r="J12" t="n">
        <v>386650</v>
      </c>
      <c r="K12" t="n">
        <v>495757</v>
      </c>
      <c r="L12" t="n">
        <v>570373</v>
      </c>
      <c r="M12" t="n">
        <v>611599</v>
      </c>
      <c r="N12" t="n">
        <v>651783</v>
      </c>
      <c r="O12" t="n">
        <v>733015</v>
      </c>
      <c r="P12" t="n">
        <v>835203</v>
      </c>
      <c r="Q12" t="n">
        <v>978250</v>
      </c>
      <c r="R12" t="n">
        <v>1067562</v>
      </c>
      <c r="S12" t="n">
        <v>1152084</v>
      </c>
      <c r="T12" t="n">
        <v>954084</v>
      </c>
      <c r="U12" t="n">
        <v>1009480</v>
      </c>
      <c r="V12" t="n">
        <v>1165232</v>
      </c>
      <c r="W12" t="n">
        <v>1185358</v>
      </c>
      <c r="X12" t="n">
        <v>1213289</v>
      </c>
      <c r="Y12" t="n">
        <v>1323248</v>
      </c>
      <c r="Z12" t="n">
        <v>1491244</v>
      </c>
      <c r="AA12" t="n">
        <v>1555625</v>
      </c>
      <c r="AB12" t="n">
        <v>1677707</v>
      </c>
      <c r="AC12" t="n">
        <v>1949218</v>
      </c>
      <c r="AD12" t="n">
        <v>2042408</v>
      </c>
      <c r="AE12" t="n">
        <v>1985623</v>
      </c>
      <c r="AF12" t="n">
        <v>2524832</v>
      </c>
    </row>
    <row r="13">
      <c r="A13" t="s">
        <v>8</v>
      </c>
      <c r="B13" t="s">
        <v>183</v>
      </c>
      <c r="C13" t="s">
        <v>129</v>
      </c>
      <c r="D13" t="s">
        <v>184</v>
      </c>
      <c r="E13" t="s">
        <v>130</v>
      </c>
      <c r="F13" t="n">
        <v>321680</v>
      </c>
      <c r="G13" t="n">
        <v>360997</v>
      </c>
      <c r="H13" t="n">
        <v>482163</v>
      </c>
      <c r="I13" t="n">
        <v>535835</v>
      </c>
      <c r="J13" t="n">
        <v>574830</v>
      </c>
      <c r="K13" t="n">
        <v>735598</v>
      </c>
      <c r="L13" t="n">
        <v>782654</v>
      </c>
      <c r="M13" t="n">
        <v>793877</v>
      </c>
      <c r="N13" t="n">
        <v>842141</v>
      </c>
      <c r="O13" t="n">
        <v>989841</v>
      </c>
      <c r="P13" t="n">
        <v>1091359</v>
      </c>
      <c r="Q13" t="n">
        <v>1316478</v>
      </c>
      <c r="R13" t="n">
        <v>1333628</v>
      </c>
      <c r="S13" t="n">
        <v>1323979</v>
      </c>
      <c r="T13" t="n">
        <v>918332</v>
      </c>
      <c r="U13" t="n">
        <v>1073066</v>
      </c>
      <c r="V13" t="n">
        <v>1358347</v>
      </c>
      <c r="W13" t="n">
        <v>1280758</v>
      </c>
      <c r="X13" t="n">
        <v>1303994</v>
      </c>
      <c r="Y13" t="n">
        <v>1380987</v>
      </c>
      <c r="Z13" t="n">
        <v>1454506</v>
      </c>
      <c r="AA13" t="n">
        <v>1497979</v>
      </c>
      <c r="AB13" t="n">
        <v>1777652</v>
      </c>
      <c r="AC13" t="n">
        <v>2000134</v>
      </c>
      <c r="AD13" t="n">
        <v>2002835</v>
      </c>
      <c r="AE13" t="n">
        <v>1880546</v>
      </c>
      <c r="AF13" t="n">
        <v>2604992</v>
      </c>
    </row>
    <row r="14">
      <c r="A14" t="s">
        <v>8</v>
      </c>
      <c r="B14" t="s">
        <v>185</v>
      </c>
      <c r="C14" t="s">
        <v>129</v>
      </c>
      <c r="D14" t="s">
        <v>186</v>
      </c>
      <c r="E14" t="s">
        <v>130</v>
      </c>
      <c r="F14" t="n">
        <v>92033</v>
      </c>
      <c r="G14" t="n">
        <v>205210</v>
      </c>
      <c r="H14" t="n">
        <v>525839</v>
      </c>
      <c r="I14" t="n">
        <v>832554</v>
      </c>
      <c r="J14" t="n">
        <v>1305711</v>
      </c>
      <c r="K14" t="n">
        <v>1401975</v>
      </c>
      <c r="L14" t="n">
        <v>1493227</v>
      </c>
      <c r="M14" t="n">
        <v>1514845</v>
      </c>
      <c r="N14" t="n">
        <v>2170326</v>
      </c>
      <c r="O14" t="n">
        <v>2704028</v>
      </c>
      <c r="P14" t="n">
        <v>2971856</v>
      </c>
      <c r="Q14" t="n">
        <v>3388684</v>
      </c>
      <c r="R14" t="n">
        <v>3411022</v>
      </c>
      <c r="S14" t="n">
        <v>3438909</v>
      </c>
      <c r="T14" t="n">
        <v>3184524</v>
      </c>
      <c r="U14" t="n">
        <v>4174924</v>
      </c>
      <c r="V14" t="n">
        <v>3790854</v>
      </c>
      <c r="W14" t="n">
        <v>2901589</v>
      </c>
      <c r="X14" t="n">
        <v>2432005</v>
      </c>
      <c r="Y14" t="n">
        <v>2375734</v>
      </c>
      <c r="Z14" t="n">
        <v>2522202</v>
      </c>
      <c r="AA14" t="n">
        <v>2702074</v>
      </c>
      <c r="AB14" t="n">
        <v>2740864</v>
      </c>
      <c r="AC14" t="n">
        <v>3110639</v>
      </c>
      <c r="AD14" t="n">
        <v>3462520</v>
      </c>
      <c r="AE14" t="n">
        <v>3655736</v>
      </c>
      <c r="AF14" t="n">
        <v>3951739</v>
      </c>
    </row>
    <row r="15">
      <c r="A15" t="s">
        <v>8</v>
      </c>
      <c r="B15" t="s">
        <v>187</v>
      </c>
      <c r="C15" t="s">
        <v>129</v>
      </c>
      <c r="D15" t="s">
        <v>188</v>
      </c>
      <c r="E15" t="s">
        <v>130</v>
      </c>
      <c r="F15" t="n">
        <v>219280</v>
      </c>
      <c r="G15" t="n">
        <v>358419</v>
      </c>
      <c r="H15" t="n">
        <v>709071</v>
      </c>
      <c r="I15" t="n">
        <v>1064073</v>
      </c>
      <c r="J15" t="n">
        <v>1605308</v>
      </c>
      <c r="K15" t="n">
        <v>2101714</v>
      </c>
      <c r="L15" t="n">
        <v>2275839</v>
      </c>
      <c r="M15" t="n">
        <v>2331491</v>
      </c>
      <c r="N15" t="n">
        <v>2864238</v>
      </c>
      <c r="O15" t="n">
        <v>3377169</v>
      </c>
      <c r="P15" t="n">
        <v>3709610</v>
      </c>
      <c r="Q15" t="n">
        <v>4272741</v>
      </c>
      <c r="R15" t="n">
        <v>4271246</v>
      </c>
      <c r="S15" t="n">
        <v>4386539</v>
      </c>
      <c r="T15" t="n">
        <v>3782295</v>
      </c>
      <c r="U15" t="n">
        <v>4927235</v>
      </c>
      <c r="V15" t="n">
        <v>4498813</v>
      </c>
      <c r="W15" t="n">
        <v>3602999</v>
      </c>
      <c r="X15" t="n">
        <v>3172301</v>
      </c>
      <c r="Y15" t="n">
        <v>3170268</v>
      </c>
      <c r="Z15" t="n">
        <v>3394591</v>
      </c>
      <c r="AA15" t="n">
        <v>3632648</v>
      </c>
      <c r="AB15" t="n">
        <v>3732910</v>
      </c>
      <c r="AC15" t="n">
        <v>4200424</v>
      </c>
      <c r="AD15" t="n">
        <v>4822805</v>
      </c>
      <c r="AE15" t="n">
        <v>5244642</v>
      </c>
      <c r="AF15" t="n">
        <v>6529451</v>
      </c>
    </row>
    <row r="16">
      <c r="A16" t="s">
        <v>8</v>
      </c>
      <c r="B16" t="s">
        <v>189</v>
      </c>
      <c r="C16" t="s">
        <v>129</v>
      </c>
      <c r="D16" t="s">
        <v>190</v>
      </c>
      <c r="E16" t="s">
        <v>130</v>
      </c>
      <c r="F16" t="n">
        <v>127247</v>
      </c>
      <c r="G16" t="n">
        <v>153209</v>
      </c>
      <c r="H16" t="n">
        <v>183232</v>
      </c>
      <c r="I16" t="n">
        <v>231519</v>
      </c>
      <c r="J16" t="n">
        <v>299597</v>
      </c>
      <c r="K16" t="n">
        <v>699739</v>
      </c>
      <c r="L16" t="n">
        <v>782612</v>
      </c>
      <c r="M16" t="n">
        <v>816646</v>
      </c>
      <c r="N16" t="n">
        <v>693912</v>
      </c>
      <c r="O16" t="n">
        <v>673141</v>
      </c>
      <c r="P16" t="n">
        <v>737754</v>
      </c>
      <c r="Q16" t="n">
        <v>884057</v>
      </c>
      <c r="R16" t="n">
        <v>860224</v>
      </c>
      <c r="S16" t="n">
        <v>947630</v>
      </c>
      <c r="T16" t="n">
        <v>597771</v>
      </c>
      <c r="U16" t="n">
        <v>752311</v>
      </c>
      <c r="V16" t="n">
        <v>707959</v>
      </c>
      <c r="W16" t="n">
        <v>701410</v>
      </c>
      <c r="X16" t="n">
        <v>740296</v>
      </c>
      <c r="Y16" t="n">
        <v>794534</v>
      </c>
      <c r="Z16" t="n">
        <v>872389</v>
      </c>
      <c r="AA16" t="n">
        <v>930574</v>
      </c>
      <c r="AB16" t="n">
        <v>992046</v>
      </c>
      <c r="AC16" t="n">
        <v>1089785</v>
      </c>
      <c r="AD16" t="n">
        <v>1360285</v>
      </c>
      <c r="AE16" t="n">
        <v>1588906</v>
      </c>
      <c r="AF16" t="n">
        <v>2577712</v>
      </c>
    </row>
    <row r="17">
      <c r="A17" t="s">
        <v>8</v>
      </c>
      <c r="B17" t="s">
        <v>191</v>
      </c>
      <c r="C17" t="s">
        <v>129</v>
      </c>
      <c r="D17" t="s">
        <v>192</v>
      </c>
      <c r="E17" t="s">
        <v>130</v>
      </c>
      <c r="F17" t="n">
        <v>101649</v>
      </c>
      <c r="G17" t="n">
        <v>117926</v>
      </c>
      <c r="H17" t="n">
        <v>144520</v>
      </c>
      <c r="I17" t="n">
        <v>167043</v>
      </c>
      <c r="J17" t="n">
        <v>187246</v>
      </c>
      <c r="K17" t="n">
        <v>231061</v>
      </c>
      <c r="L17" t="n">
        <v>269882</v>
      </c>
      <c r="M17" t="n">
        <v>322213</v>
      </c>
      <c r="N17" t="n">
        <v>369454</v>
      </c>
      <c r="O17" t="n">
        <v>417837</v>
      </c>
      <c r="P17" t="n">
        <v>484366</v>
      </c>
      <c r="Q17" t="n">
        <v>545443</v>
      </c>
      <c r="R17" t="n">
        <v>574877</v>
      </c>
      <c r="S17" t="n">
        <v>621459</v>
      </c>
      <c r="T17" t="n">
        <v>732179</v>
      </c>
      <c r="U17" t="n">
        <v>793583</v>
      </c>
      <c r="V17" t="n">
        <v>1249221</v>
      </c>
      <c r="W17" t="n">
        <v>1285212</v>
      </c>
      <c r="X17" t="n">
        <v>1333843</v>
      </c>
      <c r="Y17" t="n">
        <v>1395393</v>
      </c>
      <c r="Z17" t="n">
        <v>1330108</v>
      </c>
      <c r="AA17" t="n">
        <v>1364407</v>
      </c>
      <c r="AB17" t="n">
        <v>1453048</v>
      </c>
      <c r="AC17" t="n">
        <v>1360911</v>
      </c>
      <c r="AD17" t="n">
        <v>1398404</v>
      </c>
      <c r="AE17" t="n">
        <v>1411250</v>
      </c>
      <c r="AF17" t="n">
        <v>1738507</v>
      </c>
    </row>
    <row r="18">
      <c r="A18" t="s">
        <v>8</v>
      </c>
      <c r="B18" t="s">
        <v>193</v>
      </c>
      <c r="C18" t="s">
        <v>129</v>
      </c>
      <c r="D18" t="s">
        <v>194</v>
      </c>
      <c r="E18" t="s">
        <v>130</v>
      </c>
      <c r="F18" t="n">
        <v>304095</v>
      </c>
      <c r="G18" t="n">
        <v>402605</v>
      </c>
      <c r="H18" t="n">
        <v>666519</v>
      </c>
      <c r="I18" t="n">
        <v>1075284</v>
      </c>
      <c r="J18" t="n">
        <v>1347033</v>
      </c>
      <c r="K18" t="n">
        <v>1609963</v>
      </c>
      <c r="L18" t="n">
        <v>1658831</v>
      </c>
      <c r="M18" t="n">
        <v>1615185</v>
      </c>
      <c r="N18" t="n">
        <v>1805724</v>
      </c>
      <c r="O18" t="n">
        <v>1884419</v>
      </c>
      <c r="P18" t="n">
        <v>2320266</v>
      </c>
      <c r="Q18" t="n">
        <v>2920640</v>
      </c>
      <c r="R18" t="n">
        <v>3286755</v>
      </c>
      <c r="S18" t="n">
        <v>3374507</v>
      </c>
      <c r="T18" t="n">
        <v>2484375</v>
      </c>
      <c r="U18" t="n">
        <v>3005544</v>
      </c>
      <c r="V18" t="n">
        <v>3475635</v>
      </c>
      <c r="W18" t="n">
        <v>3800165</v>
      </c>
      <c r="X18" t="n">
        <v>4524629</v>
      </c>
      <c r="Y18" t="n">
        <v>5591250</v>
      </c>
      <c r="Z18" t="n">
        <v>6531666</v>
      </c>
      <c r="AA18" t="n">
        <v>6656942</v>
      </c>
      <c r="AB18" t="n">
        <v>6738455</v>
      </c>
      <c r="AC18" t="n">
        <v>7131327</v>
      </c>
      <c r="AD18" t="n">
        <v>8299454</v>
      </c>
      <c r="AE18" t="n">
        <v>7981312</v>
      </c>
      <c r="AF18" t="n">
        <v>8159749</v>
      </c>
    </row>
    <row r="19">
      <c r="A19" t="s">
        <v>8</v>
      </c>
      <c r="B19" t="s">
        <v>195</v>
      </c>
      <c r="C19" t="s">
        <v>129</v>
      </c>
      <c r="D19" t="s">
        <v>196</v>
      </c>
      <c r="E19" t="s">
        <v>130</v>
      </c>
      <c r="F19" t="n">
        <v>69441</v>
      </c>
      <c r="G19" t="n">
        <v>80499</v>
      </c>
      <c r="H19" t="n">
        <v>100193</v>
      </c>
      <c r="I19" t="n">
        <v>120649</v>
      </c>
      <c r="J19" t="n">
        <v>145328</v>
      </c>
      <c r="K19" t="n">
        <v>183013</v>
      </c>
      <c r="L19" t="n">
        <v>213336</v>
      </c>
      <c r="M19" t="n">
        <v>248969</v>
      </c>
      <c r="N19" t="n">
        <v>277371</v>
      </c>
      <c r="O19" t="n">
        <v>300897</v>
      </c>
      <c r="P19" t="n">
        <v>315069</v>
      </c>
      <c r="Q19" t="n">
        <v>360481</v>
      </c>
      <c r="R19" t="n">
        <v>400679</v>
      </c>
      <c r="S19" t="n">
        <v>383168</v>
      </c>
      <c r="T19" t="n">
        <v>364377</v>
      </c>
      <c r="U19" t="n">
        <v>401369</v>
      </c>
      <c r="V19" t="n">
        <v>406639</v>
      </c>
      <c r="W19" t="n">
        <v>408613</v>
      </c>
      <c r="X19" t="n">
        <v>447442</v>
      </c>
      <c r="Y19" t="n">
        <v>488065</v>
      </c>
      <c r="Z19" t="n">
        <v>562336</v>
      </c>
      <c r="AA19" t="n">
        <v>618628</v>
      </c>
      <c r="AB19" t="n">
        <v>658168</v>
      </c>
      <c r="AC19" t="n">
        <v>610376</v>
      </c>
      <c r="AD19" t="n">
        <v>686100</v>
      </c>
      <c r="AE19" t="n">
        <v>725981</v>
      </c>
      <c r="AF19" t="n">
        <v>877101</v>
      </c>
    </row>
    <row r="20">
      <c r="A20" t="s">
        <v>8</v>
      </c>
      <c r="B20" t="s">
        <v>197</v>
      </c>
      <c r="C20" t="s">
        <v>129</v>
      </c>
      <c r="D20" t="s">
        <v>198</v>
      </c>
      <c r="E20" t="s">
        <v>130</v>
      </c>
      <c r="F20" t="n">
        <v>252212</v>
      </c>
      <c r="G20" t="n">
        <v>324048</v>
      </c>
      <c r="H20" t="n">
        <v>397088</v>
      </c>
      <c r="I20" t="n">
        <v>464513</v>
      </c>
      <c r="J20" t="n">
        <v>469898</v>
      </c>
      <c r="K20" t="n">
        <v>332728</v>
      </c>
      <c r="L20" t="n">
        <v>363130</v>
      </c>
      <c r="M20" t="n">
        <v>415438</v>
      </c>
      <c r="N20" t="n">
        <v>490635</v>
      </c>
      <c r="O20" t="n">
        <v>589649</v>
      </c>
      <c r="P20" t="n">
        <v>663159</v>
      </c>
      <c r="Q20" t="n">
        <v>759331</v>
      </c>
      <c r="R20" t="n">
        <v>901470</v>
      </c>
      <c r="S20" t="n">
        <v>1081165</v>
      </c>
      <c r="T20" t="n">
        <v>969567</v>
      </c>
      <c r="U20" t="n">
        <v>975141</v>
      </c>
      <c r="V20" t="n">
        <v>1033030</v>
      </c>
      <c r="W20" t="n">
        <v>1013254</v>
      </c>
      <c r="X20" t="n">
        <v>941251</v>
      </c>
      <c r="Y20" t="n">
        <v>825856</v>
      </c>
      <c r="Z20" t="n">
        <v>814288</v>
      </c>
      <c r="AA20" t="n">
        <v>784270</v>
      </c>
      <c r="AB20" t="n">
        <v>837911</v>
      </c>
      <c r="AC20" t="n">
        <v>872245</v>
      </c>
      <c r="AD20" t="n">
        <v>922924</v>
      </c>
      <c r="AE20" t="n">
        <v>878631</v>
      </c>
      <c r="AF20" t="n">
        <v>1369540</v>
      </c>
    </row>
    <row r="21">
      <c r="A21" t="s">
        <v>8</v>
      </c>
      <c r="B21" t="s">
        <v>199</v>
      </c>
      <c r="C21" t="s">
        <v>129</v>
      </c>
      <c r="D21" t="s">
        <v>200</v>
      </c>
      <c r="E21" t="s">
        <v>130</v>
      </c>
      <c r="F21" t="n">
        <v>302854</v>
      </c>
      <c r="G21" t="n">
        <v>378154</v>
      </c>
      <c r="H21" t="n">
        <v>463910</v>
      </c>
      <c r="I21" t="n">
        <v>559442</v>
      </c>
      <c r="J21" t="n">
        <v>588967</v>
      </c>
      <c r="K21" t="n">
        <v>468606</v>
      </c>
      <c r="L21" t="n">
        <v>511877</v>
      </c>
      <c r="M21" t="n">
        <v>582060</v>
      </c>
      <c r="N21" t="n">
        <v>670732</v>
      </c>
      <c r="O21" t="n">
        <v>789232</v>
      </c>
      <c r="P21" t="n">
        <v>895347</v>
      </c>
      <c r="Q21" t="n">
        <v>1011498</v>
      </c>
      <c r="R21" t="n">
        <v>1155798</v>
      </c>
      <c r="S21" t="n">
        <v>1347144</v>
      </c>
      <c r="T21" t="n">
        <v>1252882</v>
      </c>
      <c r="U21" t="n">
        <v>1271226</v>
      </c>
      <c r="V21" t="n">
        <v>1371509</v>
      </c>
      <c r="W21" t="n">
        <v>1352537</v>
      </c>
      <c r="X21" t="n">
        <v>1281703</v>
      </c>
      <c r="Y21" t="n">
        <v>1186774</v>
      </c>
      <c r="Z21" t="n">
        <v>1172917</v>
      </c>
      <c r="AA21" t="n">
        <v>1164114</v>
      </c>
      <c r="AB21" t="n">
        <v>1257859</v>
      </c>
      <c r="AC21" t="n">
        <v>1290025</v>
      </c>
      <c r="AD21" t="n">
        <v>1365604</v>
      </c>
      <c r="AE21" t="n">
        <v>1336833</v>
      </c>
      <c r="AF21" t="n">
        <v>1881306</v>
      </c>
    </row>
    <row r="22">
      <c r="A22" t="s">
        <v>8</v>
      </c>
      <c r="B22" t="s">
        <v>201</v>
      </c>
      <c r="C22" t="s">
        <v>129</v>
      </c>
      <c r="D22" t="s">
        <v>202</v>
      </c>
      <c r="E22" t="s">
        <v>130</v>
      </c>
      <c r="F22" t="n">
        <v>50642</v>
      </c>
      <c r="G22" t="n">
        <v>54106</v>
      </c>
      <c r="H22" t="n">
        <v>66822</v>
      </c>
      <c r="I22" t="n">
        <v>94929</v>
      </c>
      <c r="J22" t="n">
        <v>119069</v>
      </c>
      <c r="K22" t="n">
        <v>135878</v>
      </c>
      <c r="L22" t="n">
        <v>148747</v>
      </c>
      <c r="M22" t="n">
        <v>166622</v>
      </c>
      <c r="N22" t="n">
        <v>180097</v>
      </c>
      <c r="O22" t="n">
        <v>199583</v>
      </c>
      <c r="P22" t="n">
        <v>232188</v>
      </c>
      <c r="Q22" t="n">
        <v>252167</v>
      </c>
      <c r="R22" t="n">
        <v>254328</v>
      </c>
      <c r="S22" t="n">
        <v>265979</v>
      </c>
      <c r="T22" t="n">
        <v>283315</v>
      </c>
      <c r="U22" t="n">
        <v>296085</v>
      </c>
      <c r="V22" t="n">
        <v>338479</v>
      </c>
      <c r="W22" t="n">
        <v>339283</v>
      </c>
      <c r="X22" t="n">
        <v>340452</v>
      </c>
      <c r="Y22" t="n">
        <v>360918</v>
      </c>
      <c r="Z22" t="n">
        <v>358629</v>
      </c>
      <c r="AA22" t="n">
        <v>379844</v>
      </c>
      <c r="AB22" t="n">
        <v>419948</v>
      </c>
      <c r="AC22" t="n">
        <v>417780</v>
      </c>
      <c r="AD22" t="n">
        <v>442680</v>
      </c>
      <c r="AE22" t="n">
        <v>458202</v>
      </c>
      <c r="AF22" t="n">
        <v>511766</v>
      </c>
    </row>
    <row r="23">
      <c r="A23" t="s">
        <v>8</v>
      </c>
      <c r="B23" t="s">
        <v>203</v>
      </c>
      <c r="C23" t="s">
        <v>129</v>
      </c>
      <c r="D23" t="s">
        <v>204</v>
      </c>
      <c r="E23" t="s">
        <v>130</v>
      </c>
      <c r="F23" t="n">
        <v>359427</v>
      </c>
      <c r="G23" t="n">
        <v>475792</v>
      </c>
      <c r="H23" t="n">
        <v>574043</v>
      </c>
      <c r="I23" t="n">
        <v>606840</v>
      </c>
      <c r="J23" t="n">
        <v>714424</v>
      </c>
      <c r="K23" t="n">
        <v>834498</v>
      </c>
      <c r="L23" t="n">
        <v>1067163</v>
      </c>
      <c r="M23" t="n">
        <v>1262764</v>
      </c>
      <c r="N23" t="n">
        <v>1331077</v>
      </c>
      <c r="O23" t="n">
        <v>1501127</v>
      </c>
      <c r="P23" t="n">
        <v>1722606</v>
      </c>
      <c r="Q23" t="n">
        <v>1843959</v>
      </c>
      <c r="R23" t="n">
        <v>1729388</v>
      </c>
      <c r="S23" t="n">
        <v>1850181</v>
      </c>
      <c r="T23" t="n">
        <v>1801741</v>
      </c>
      <c r="U23" t="n">
        <v>1556564</v>
      </c>
      <c r="V23" t="n">
        <v>1438821</v>
      </c>
      <c r="W23" t="n">
        <v>1356738</v>
      </c>
      <c r="X23" t="n">
        <v>1591681</v>
      </c>
      <c r="Y23" t="n">
        <v>1883595</v>
      </c>
      <c r="Z23" t="n">
        <v>1981008</v>
      </c>
      <c r="AA23" t="n">
        <v>1828684</v>
      </c>
      <c r="AB23" t="n">
        <v>2344883</v>
      </c>
      <c r="AC23" t="n">
        <v>3113684</v>
      </c>
      <c r="AD23" t="n">
        <v>3828231</v>
      </c>
      <c r="AE23" t="n">
        <v>4136116</v>
      </c>
      <c r="AF23" t="n">
        <v>4901795</v>
      </c>
    </row>
    <row r="24">
      <c r="A24" t="s">
        <v>8</v>
      </c>
      <c r="B24" t="s">
        <v>205</v>
      </c>
      <c r="C24" t="s">
        <v>129</v>
      </c>
      <c r="D24" t="s">
        <v>206</v>
      </c>
      <c r="E24" t="s">
        <v>130</v>
      </c>
      <c r="F24" t="n">
        <v>615797</v>
      </c>
      <c r="G24" t="n">
        <v>734668</v>
      </c>
      <c r="H24" t="n">
        <v>874503</v>
      </c>
      <c r="I24" t="n">
        <v>1083134</v>
      </c>
      <c r="J24" t="n">
        <v>1240249</v>
      </c>
      <c r="K24" t="n">
        <v>1421530</v>
      </c>
      <c r="L24" t="n">
        <v>1623857</v>
      </c>
      <c r="M24" t="n">
        <v>1823358</v>
      </c>
      <c r="N24" t="n">
        <v>1978318</v>
      </c>
      <c r="O24" t="n">
        <v>2066276</v>
      </c>
      <c r="P24" t="n">
        <v>2358305</v>
      </c>
      <c r="Q24" t="n">
        <v>2554959</v>
      </c>
      <c r="R24" t="n">
        <v>2576391</v>
      </c>
      <c r="S24" t="n">
        <v>3049968</v>
      </c>
      <c r="T24" t="n">
        <v>2855255</v>
      </c>
      <c r="U24" t="n">
        <v>2753679</v>
      </c>
      <c r="V24" t="n">
        <v>2871160</v>
      </c>
      <c r="W24" t="n">
        <v>2788624</v>
      </c>
      <c r="X24" t="n">
        <v>2913898</v>
      </c>
      <c r="Y24" t="n">
        <v>3058689</v>
      </c>
      <c r="Z24" t="n">
        <v>3167909</v>
      </c>
      <c r="AA24" t="n">
        <v>3372441</v>
      </c>
      <c r="AB24" t="n">
        <v>3563558</v>
      </c>
      <c r="AC24" t="n">
        <v>3864645</v>
      </c>
      <c r="AD24" t="n">
        <v>4294144</v>
      </c>
      <c r="AE24" t="n">
        <v>4332456</v>
      </c>
      <c r="AF24" t="n">
        <v>4989007</v>
      </c>
    </row>
    <row r="25">
      <c r="A25" t="s">
        <v>8</v>
      </c>
      <c r="B25" t="s">
        <v>207</v>
      </c>
      <c r="C25" t="s">
        <v>129</v>
      </c>
      <c r="D25" t="s">
        <v>208</v>
      </c>
      <c r="E25" t="s">
        <v>130</v>
      </c>
      <c r="F25" t="n">
        <v>65766</v>
      </c>
      <c r="G25" t="n">
        <v>77582</v>
      </c>
      <c r="H25" t="n">
        <v>89767</v>
      </c>
      <c r="I25" t="n">
        <v>136917</v>
      </c>
      <c r="J25" t="n">
        <v>155688</v>
      </c>
      <c r="K25" t="n">
        <v>192246</v>
      </c>
      <c r="L25" t="n">
        <v>217114</v>
      </c>
      <c r="M25" t="n">
        <v>252622</v>
      </c>
      <c r="N25" t="n">
        <v>279083</v>
      </c>
      <c r="O25" t="n">
        <v>304613</v>
      </c>
      <c r="P25" t="n">
        <v>339567</v>
      </c>
      <c r="Q25" t="n">
        <v>364790</v>
      </c>
      <c r="R25" t="n">
        <v>364233</v>
      </c>
      <c r="S25" t="n">
        <v>400192</v>
      </c>
      <c r="T25" t="n">
        <v>390305</v>
      </c>
      <c r="U25" t="n">
        <v>337887</v>
      </c>
      <c r="V25" t="n">
        <v>337744</v>
      </c>
      <c r="W25" t="n">
        <v>327704</v>
      </c>
      <c r="X25" t="n">
        <v>354207</v>
      </c>
      <c r="Y25" t="n">
        <v>347447</v>
      </c>
      <c r="Z25" t="n">
        <v>377865</v>
      </c>
      <c r="AA25" t="n">
        <v>402383</v>
      </c>
      <c r="AB25" t="n">
        <v>435608</v>
      </c>
      <c r="AC25" t="n">
        <v>479549</v>
      </c>
      <c r="AD25" t="n">
        <v>537117</v>
      </c>
      <c r="AE25" t="n">
        <v>515654</v>
      </c>
      <c r="AF25" t="n">
        <v>579849</v>
      </c>
    </row>
    <row r="26">
      <c r="A26" t="s">
        <v>8</v>
      </c>
      <c r="B26" t="s">
        <v>209</v>
      </c>
      <c r="C26" t="s">
        <v>129</v>
      </c>
      <c r="D26" t="s">
        <v>210</v>
      </c>
      <c r="E26" t="s">
        <v>130</v>
      </c>
      <c r="F26" t="n">
        <v>340720</v>
      </c>
      <c r="G26" t="n">
        <v>430309</v>
      </c>
      <c r="H26" t="n">
        <v>506977</v>
      </c>
      <c r="I26" t="n">
        <v>576483</v>
      </c>
      <c r="J26" t="n">
        <v>692086</v>
      </c>
      <c r="K26" t="n">
        <v>777127</v>
      </c>
      <c r="L26" t="n">
        <v>891101</v>
      </c>
      <c r="M26" t="n">
        <v>982607</v>
      </c>
      <c r="N26" t="n">
        <v>1057135</v>
      </c>
      <c r="O26" t="n">
        <v>1069847</v>
      </c>
      <c r="P26" t="n">
        <v>1259427</v>
      </c>
      <c r="Q26" t="n">
        <v>1381342</v>
      </c>
      <c r="R26" t="n">
        <v>1390493</v>
      </c>
      <c r="S26" t="n">
        <v>1705466</v>
      </c>
      <c r="T26" t="n">
        <v>1478047</v>
      </c>
      <c r="U26" t="n">
        <v>1512775</v>
      </c>
      <c r="V26" t="n">
        <v>1599626</v>
      </c>
      <c r="W26" t="n">
        <v>1516763</v>
      </c>
      <c r="X26" t="n">
        <v>1580057</v>
      </c>
      <c r="Y26" t="n">
        <v>1669445</v>
      </c>
      <c r="Z26" t="n">
        <v>1724004</v>
      </c>
      <c r="AA26" t="n">
        <v>1775230</v>
      </c>
      <c r="AB26" t="n">
        <v>1868372</v>
      </c>
      <c r="AC26" t="n">
        <v>2054166</v>
      </c>
      <c r="AD26" t="n">
        <v>2274161</v>
      </c>
      <c r="AE26" t="n">
        <v>2289435</v>
      </c>
      <c r="AF26" t="n">
        <v>2685413</v>
      </c>
    </row>
    <row r="27">
      <c r="A27" t="s">
        <v>8</v>
      </c>
      <c r="B27" t="s">
        <v>211</v>
      </c>
      <c r="C27" t="s">
        <v>129</v>
      </c>
      <c r="D27" t="s">
        <v>212</v>
      </c>
      <c r="E27" t="s">
        <v>130</v>
      </c>
      <c r="F27" t="n">
        <v>209311</v>
      </c>
      <c r="G27" t="n">
        <v>226777</v>
      </c>
      <c r="H27" t="n">
        <v>277759</v>
      </c>
      <c r="I27" t="n">
        <v>369734</v>
      </c>
      <c r="J27" t="n">
        <v>392475</v>
      </c>
      <c r="K27" t="n">
        <v>452157</v>
      </c>
      <c r="L27" t="n">
        <v>515642</v>
      </c>
      <c r="M27" t="n">
        <v>588129</v>
      </c>
      <c r="N27" t="n">
        <v>642100</v>
      </c>
      <c r="O27" t="n">
        <v>691816</v>
      </c>
      <c r="P27" t="n">
        <v>759311</v>
      </c>
      <c r="Q27" t="n">
        <v>808827</v>
      </c>
      <c r="R27" t="n">
        <v>821665</v>
      </c>
      <c r="S27" t="n">
        <v>944310</v>
      </c>
      <c r="T27" t="n">
        <v>986903</v>
      </c>
      <c r="U27" t="n">
        <v>903017</v>
      </c>
      <c r="V27" t="n">
        <v>933790</v>
      </c>
      <c r="W27" t="n">
        <v>944157</v>
      </c>
      <c r="X27" t="n">
        <v>979634</v>
      </c>
      <c r="Y27" t="n">
        <v>1041797</v>
      </c>
      <c r="Z27" t="n">
        <v>1066040</v>
      </c>
      <c r="AA27" t="n">
        <v>1194828</v>
      </c>
      <c r="AB27" t="n">
        <v>1259578</v>
      </c>
      <c r="AC27" t="n">
        <v>1330930</v>
      </c>
      <c r="AD27" t="n">
        <v>1482866</v>
      </c>
      <c r="AE27" t="n">
        <v>1527367</v>
      </c>
      <c r="AF27" t="n">
        <v>1723745</v>
      </c>
    </row>
    <row r="28">
      <c r="A28" t="s">
        <v>8</v>
      </c>
      <c r="B28" t="s">
        <v>213</v>
      </c>
      <c r="C28" t="s">
        <v>129</v>
      </c>
      <c r="D28" t="s">
        <v>214</v>
      </c>
      <c r="E28" t="s">
        <v>130</v>
      </c>
      <c r="F28" t="n">
        <v>300990</v>
      </c>
      <c r="G28" t="n">
        <v>356597</v>
      </c>
      <c r="H28" t="n">
        <v>446885</v>
      </c>
      <c r="I28" t="n">
        <v>500727</v>
      </c>
      <c r="J28" t="n">
        <v>601266</v>
      </c>
      <c r="K28" t="n">
        <v>705561</v>
      </c>
      <c r="L28" t="n">
        <v>776517</v>
      </c>
      <c r="M28" t="n">
        <v>829697</v>
      </c>
      <c r="N28" t="n">
        <v>841295</v>
      </c>
      <c r="O28" t="n">
        <v>956936</v>
      </c>
      <c r="P28" t="n">
        <v>1106608</v>
      </c>
      <c r="Q28" t="n">
        <v>1285763</v>
      </c>
      <c r="R28" t="n">
        <v>1371238</v>
      </c>
      <c r="S28" t="n">
        <v>1702511</v>
      </c>
      <c r="T28" t="n">
        <v>1587132</v>
      </c>
      <c r="U28" t="n">
        <v>1630118</v>
      </c>
      <c r="V28" t="n">
        <v>1800263</v>
      </c>
      <c r="W28" t="n">
        <v>1809806</v>
      </c>
      <c r="X28" t="n">
        <v>1897843</v>
      </c>
      <c r="Y28" t="n">
        <v>2071558</v>
      </c>
      <c r="Z28" t="n">
        <v>2098478</v>
      </c>
      <c r="AA28" t="n">
        <v>2154485</v>
      </c>
      <c r="AB28" t="n">
        <v>2321085</v>
      </c>
      <c r="AC28" t="n">
        <v>2744431</v>
      </c>
      <c r="AD28" t="n">
        <v>2901099</v>
      </c>
      <c r="AE28" t="n">
        <v>2650685</v>
      </c>
      <c r="AF28" t="n">
        <v>3105234</v>
      </c>
    </row>
    <row r="29">
      <c r="A29" t="s">
        <v>8</v>
      </c>
      <c r="B29" t="s">
        <v>215</v>
      </c>
      <c r="C29" t="s">
        <v>129</v>
      </c>
      <c r="D29" t="s">
        <v>216</v>
      </c>
      <c r="E29" t="s">
        <v>130</v>
      </c>
      <c r="F29" t="n">
        <v>202794</v>
      </c>
      <c r="G29" t="n">
        <v>220966</v>
      </c>
      <c r="H29" t="n">
        <v>294101</v>
      </c>
      <c r="I29" t="n">
        <v>327058</v>
      </c>
      <c r="J29" t="n">
        <v>380299</v>
      </c>
      <c r="K29" t="n">
        <v>444478</v>
      </c>
      <c r="L29" t="n">
        <v>479134</v>
      </c>
      <c r="M29" t="n">
        <v>534310</v>
      </c>
      <c r="N29" t="n">
        <v>548205</v>
      </c>
      <c r="O29" t="n">
        <v>618558</v>
      </c>
      <c r="P29" t="n">
        <v>718220</v>
      </c>
      <c r="Q29" t="n">
        <v>851476</v>
      </c>
      <c r="R29" t="n">
        <v>905779</v>
      </c>
      <c r="S29" t="n">
        <v>1027176</v>
      </c>
      <c r="T29" t="n">
        <v>925218</v>
      </c>
      <c r="U29" t="n">
        <v>943455</v>
      </c>
      <c r="V29" t="n">
        <v>1069643</v>
      </c>
      <c r="W29" t="n">
        <v>1122900</v>
      </c>
      <c r="X29" t="n">
        <v>1172976</v>
      </c>
      <c r="Y29" t="n">
        <v>1212736</v>
      </c>
      <c r="Z29" t="n">
        <v>1202243</v>
      </c>
      <c r="AA29" t="n">
        <v>1253928</v>
      </c>
      <c r="AB29" t="n">
        <v>1336273</v>
      </c>
      <c r="AC29" t="n">
        <v>1598271</v>
      </c>
      <c r="AD29" t="n">
        <v>1596993</v>
      </c>
      <c r="AE29" t="n">
        <v>1562013</v>
      </c>
      <c r="AF29" t="n">
        <v>1764282</v>
      </c>
    </row>
    <row r="30">
      <c r="A30" t="s">
        <v>8</v>
      </c>
      <c r="B30" t="s">
        <v>217</v>
      </c>
      <c r="C30" t="s">
        <v>129</v>
      </c>
      <c r="D30" t="s">
        <v>218</v>
      </c>
      <c r="E30" t="s">
        <v>130</v>
      </c>
      <c r="F30" t="n">
        <v>4941</v>
      </c>
      <c r="G30" t="n">
        <v>22120</v>
      </c>
      <c r="H30" t="n">
        <v>5099</v>
      </c>
      <c r="I30" t="n">
        <v>4767</v>
      </c>
      <c r="J30" t="n">
        <v>5563</v>
      </c>
      <c r="K30" t="n">
        <v>6398</v>
      </c>
      <c r="L30" t="n">
        <v>7059</v>
      </c>
      <c r="M30" t="n">
        <v>7317</v>
      </c>
      <c r="N30" t="n">
        <v>7484</v>
      </c>
      <c r="O30" t="n">
        <v>7487</v>
      </c>
      <c r="P30" t="n">
        <v>8655</v>
      </c>
      <c r="Q30" t="n">
        <v>9437</v>
      </c>
      <c r="R30" t="n">
        <v>9322</v>
      </c>
      <c r="S30" t="n">
        <v>12437</v>
      </c>
      <c r="T30" t="n">
        <v>16930</v>
      </c>
      <c r="U30" t="n">
        <v>17671</v>
      </c>
      <c r="V30" t="n">
        <v>16006</v>
      </c>
      <c r="W30" t="n">
        <v>17338</v>
      </c>
      <c r="X30" t="n">
        <v>17341</v>
      </c>
      <c r="Y30" t="n">
        <v>18910</v>
      </c>
      <c r="Z30" t="n">
        <v>18734</v>
      </c>
      <c r="AA30" t="n">
        <v>16462</v>
      </c>
      <c r="AB30" t="n">
        <v>17580</v>
      </c>
      <c r="AC30" t="n">
        <v>19932</v>
      </c>
      <c r="AD30" t="n">
        <v>27193</v>
      </c>
      <c r="AE30" t="n">
        <v>22354</v>
      </c>
      <c r="AF30" t="n">
        <v>21561</v>
      </c>
    </row>
    <row r="31">
      <c r="A31" t="s">
        <v>8</v>
      </c>
      <c r="B31" t="s">
        <v>219</v>
      </c>
      <c r="C31" t="s">
        <v>129</v>
      </c>
      <c r="D31" t="s">
        <v>220</v>
      </c>
      <c r="E31" t="s">
        <v>130</v>
      </c>
      <c r="F31" t="n">
        <v>35230</v>
      </c>
      <c r="G31" t="n">
        <v>43664</v>
      </c>
      <c r="H31" t="n">
        <v>51287</v>
      </c>
      <c r="I31" t="n">
        <v>60403</v>
      </c>
      <c r="J31" t="n">
        <v>72519</v>
      </c>
      <c r="K31" t="n">
        <v>97229</v>
      </c>
      <c r="L31" t="n">
        <v>96060</v>
      </c>
      <c r="M31" t="n">
        <v>88898</v>
      </c>
      <c r="N31" t="n">
        <v>95289</v>
      </c>
      <c r="O31" t="n">
        <v>117638</v>
      </c>
      <c r="P31" t="n">
        <v>140038</v>
      </c>
      <c r="Q31" t="n">
        <v>162924</v>
      </c>
      <c r="R31" t="n">
        <v>179030</v>
      </c>
      <c r="S31" t="n">
        <v>203301</v>
      </c>
      <c r="T31" t="n">
        <v>185239</v>
      </c>
      <c r="U31" t="n">
        <v>210307</v>
      </c>
      <c r="V31" t="n">
        <v>242392</v>
      </c>
      <c r="W31" t="n">
        <v>184987</v>
      </c>
      <c r="X31" t="n">
        <v>184758</v>
      </c>
      <c r="Y31" t="n">
        <v>219659</v>
      </c>
      <c r="Z31" t="n">
        <v>231770</v>
      </c>
      <c r="AA31" t="n">
        <v>256826</v>
      </c>
      <c r="AB31" t="n">
        <v>308843</v>
      </c>
      <c r="AC31" t="n">
        <v>423718</v>
      </c>
      <c r="AD31" t="n">
        <v>480745</v>
      </c>
      <c r="AE31" t="n">
        <v>261901</v>
      </c>
      <c r="AF31" t="n">
        <v>413243</v>
      </c>
    </row>
    <row r="32">
      <c r="A32" t="s">
        <v>8</v>
      </c>
      <c r="B32" t="s">
        <v>221</v>
      </c>
      <c r="C32" t="s">
        <v>129</v>
      </c>
      <c r="D32" t="s">
        <v>222</v>
      </c>
      <c r="E32" t="s">
        <v>130</v>
      </c>
      <c r="F32" t="n">
        <v>45664</v>
      </c>
      <c r="G32" t="n">
        <v>55710</v>
      </c>
      <c r="H32" t="n">
        <v>80273</v>
      </c>
      <c r="I32" t="n">
        <v>89894</v>
      </c>
      <c r="J32" t="n">
        <v>120383</v>
      </c>
      <c r="K32" t="n">
        <v>132811</v>
      </c>
      <c r="L32" t="n">
        <v>158173</v>
      </c>
      <c r="M32" t="n">
        <v>154078</v>
      </c>
      <c r="N32" t="n">
        <v>156356</v>
      </c>
      <c r="O32" t="n">
        <v>171243</v>
      </c>
      <c r="P32" t="n">
        <v>191684</v>
      </c>
      <c r="Q32" t="n">
        <v>208404</v>
      </c>
      <c r="R32" t="n">
        <v>220924</v>
      </c>
      <c r="S32" t="n">
        <v>399484</v>
      </c>
      <c r="T32" t="n">
        <v>400772</v>
      </c>
      <c r="U32" t="n">
        <v>396211</v>
      </c>
      <c r="V32" t="n">
        <v>405843</v>
      </c>
      <c r="W32" t="n">
        <v>418780</v>
      </c>
      <c r="X32" t="n">
        <v>459767</v>
      </c>
      <c r="Y32" t="n">
        <v>553405</v>
      </c>
      <c r="Z32" t="n">
        <v>575759</v>
      </c>
      <c r="AA32" t="n">
        <v>550522</v>
      </c>
      <c r="AB32" t="n">
        <v>575387</v>
      </c>
      <c r="AC32" t="n">
        <v>608461</v>
      </c>
      <c r="AD32" t="n">
        <v>694286</v>
      </c>
      <c r="AE32" t="n">
        <v>683821</v>
      </c>
      <c r="AF32" t="n">
        <v>751827</v>
      </c>
    </row>
    <row r="33">
      <c r="A33" t="s">
        <v>8</v>
      </c>
      <c r="B33" t="s">
        <v>223</v>
      </c>
      <c r="C33" t="s">
        <v>129</v>
      </c>
      <c r="D33" t="s">
        <v>224</v>
      </c>
      <c r="E33" t="s">
        <v>130</v>
      </c>
      <c r="F33" t="n">
        <v>12361</v>
      </c>
      <c r="G33" t="n">
        <v>14137</v>
      </c>
      <c r="H33" t="n">
        <v>16125</v>
      </c>
      <c r="I33" t="n">
        <v>18605</v>
      </c>
      <c r="J33" t="n">
        <v>22502</v>
      </c>
      <c r="K33" t="n">
        <v>24645</v>
      </c>
      <c r="L33" t="n">
        <v>36091</v>
      </c>
      <c r="M33" t="n">
        <v>45094</v>
      </c>
      <c r="N33" t="n">
        <v>33961</v>
      </c>
      <c r="O33" t="n">
        <v>42010</v>
      </c>
      <c r="P33" t="n">
        <v>48011</v>
      </c>
      <c r="Q33" t="n">
        <v>53522</v>
      </c>
      <c r="R33" t="n">
        <v>56183</v>
      </c>
      <c r="S33" t="n">
        <v>60113</v>
      </c>
      <c r="T33" t="n">
        <v>58973</v>
      </c>
      <c r="U33" t="n">
        <v>62474</v>
      </c>
      <c r="V33" t="n">
        <v>66379</v>
      </c>
      <c r="W33" t="n">
        <v>65801</v>
      </c>
      <c r="X33" t="n">
        <v>63001</v>
      </c>
      <c r="Y33" t="n">
        <v>66848</v>
      </c>
      <c r="Z33" t="n">
        <v>69972</v>
      </c>
      <c r="AA33" t="n">
        <v>76747</v>
      </c>
      <c r="AB33" t="n">
        <v>83002</v>
      </c>
      <c r="AC33" t="n">
        <v>94049</v>
      </c>
      <c r="AD33" t="n">
        <v>101882</v>
      </c>
      <c r="AE33" t="n">
        <v>120596</v>
      </c>
      <c r="AF33" t="n">
        <v>154321</v>
      </c>
    </row>
    <row r="34">
      <c r="A34" t="s">
        <v>8</v>
      </c>
      <c r="B34" t="s">
        <v>225</v>
      </c>
      <c r="C34" t="s">
        <v>129</v>
      </c>
      <c r="D34" t="s">
        <v>226</v>
      </c>
      <c r="E34" t="s">
        <v>130</v>
      </c>
      <c r="F34" t="n">
        <v>150104</v>
      </c>
      <c r="G34" t="n">
        <v>181517</v>
      </c>
      <c r="H34" t="n">
        <v>191984</v>
      </c>
      <c r="I34" t="n">
        <v>239589</v>
      </c>
      <c r="J34" t="n">
        <v>280599</v>
      </c>
      <c r="K34" t="n">
        <v>319066</v>
      </c>
      <c r="L34" t="n">
        <v>363188</v>
      </c>
      <c r="M34" t="n">
        <v>430597</v>
      </c>
      <c r="N34" t="n">
        <v>435694</v>
      </c>
      <c r="O34" t="n">
        <v>473019</v>
      </c>
      <c r="P34" t="n">
        <v>514903</v>
      </c>
      <c r="Q34" t="n">
        <v>552194</v>
      </c>
      <c r="R34" t="n">
        <v>581494</v>
      </c>
      <c r="S34" t="n">
        <v>663285</v>
      </c>
      <c r="T34" t="n">
        <v>653793</v>
      </c>
      <c r="U34" t="n">
        <v>668409</v>
      </c>
      <c r="V34" t="n">
        <v>696823</v>
      </c>
      <c r="W34" t="n">
        <v>715553</v>
      </c>
      <c r="X34" t="n">
        <v>746743</v>
      </c>
      <c r="Y34" t="n">
        <v>777307</v>
      </c>
      <c r="Z34" t="n">
        <v>865446</v>
      </c>
      <c r="AA34" t="n">
        <v>939463</v>
      </c>
      <c r="AB34" t="n">
        <v>1003235</v>
      </c>
      <c r="AC34" t="n">
        <v>1100473</v>
      </c>
      <c r="AD34" t="n">
        <v>1214157</v>
      </c>
      <c r="AE34" t="n">
        <v>957119</v>
      </c>
      <c r="AF34" t="n">
        <v>1192875</v>
      </c>
    </row>
    <row r="35">
      <c r="A35" t="s">
        <v>8</v>
      </c>
      <c r="B35" t="s">
        <v>227</v>
      </c>
      <c r="C35" t="s">
        <v>129</v>
      </c>
      <c r="D35" t="s">
        <v>228</v>
      </c>
      <c r="E35" t="s">
        <v>130</v>
      </c>
      <c r="F35" t="n">
        <v>171608</v>
      </c>
      <c r="G35" t="n">
        <v>223432</v>
      </c>
      <c r="H35" t="n">
        <v>313868</v>
      </c>
      <c r="I35" t="n">
        <v>349997</v>
      </c>
      <c r="J35" t="n">
        <v>426016</v>
      </c>
      <c r="K35" t="n">
        <v>563764</v>
      </c>
      <c r="L35" t="n">
        <v>633216</v>
      </c>
      <c r="M35" t="n">
        <v>699923</v>
      </c>
      <c r="N35" t="n">
        <v>750200</v>
      </c>
      <c r="O35" t="n">
        <v>788113</v>
      </c>
      <c r="P35" t="n">
        <v>867368</v>
      </c>
      <c r="Q35" t="n">
        <v>929659</v>
      </c>
      <c r="R35" t="n">
        <v>945353</v>
      </c>
      <c r="S35" t="n">
        <v>912829</v>
      </c>
      <c r="T35" t="n">
        <v>1005678</v>
      </c>
      <c r="U35" t="n">
        <v>923190</v>
      </c>
      <c r="V35" t="n">
        <v>977483</v>
      </c>
      <c r="W35" t="n">
        <v>981898</v>
      </c>
      <c r="X35" t="n">
        <v>1017279</v>
      </c>
      <c r="Y35" t="n">
        <v>1028803</v>
      </c>
      <c r="Z35" t="n">
        <v>1083398</v>
      </c>
      <c r="AA35" t="n">
        <v>1201063</v>
      </c>
      <c r="AB35" t="n">
        <v>1321844</v>
      </c>
      <c r="AC35" t="n">
        <v>1378878</v>
      </c>
      <c r="AD35" t="n">
        <v>1482564</v>
      </c>
      <c r="AE35" t="n">
        <v>1368949</v>
      </c>
      <c r="AF35" t="n">
        <v>1795547</v>
      </c>
    </row>
    <row r="36">
      <c r="A36" t="s">
        <v>8</v>
      </c>
      <c r="B36" t="s">
        <v>229</v>
      </c>
      <c r="C36" t="s">
        <v>129</v>
      </c>
      <c r="D36" t="s">
        <v>230</v>
      </c>
      <c r="E36" t="s">
        <v>130</v>
      </c>
      <c r="F36" t="n">
        <v>72785</v>
      </c>
      <c r="G36" t="n">
        <v>94123</v>
      </c>
      <c r="H36" t="n">
        <v>138764</v>
      </c>
      <c r="I36" t="n">
        <v>153825</v>
      </c>
      <c r="J36" t="n">
        <v>178815</v>
      </c>
      <c r="K36" t="n">
        <v>230713</v>
      </c>
      <c r="L36" t="n">
        <v>276293</v>
      </c>
      <c r="M36" t="n">
        <v>319288</v>
      </c>
      <c r="N36" t="n">
        <v>311670</v>
      </c>
      <c r="O36" t="n">
        <v>326243</v>
      </c>
      <c r="P36" t="n">
        <v>348064</v>
      </c>
      <c r="Q36" t="n">
        <v>337602</v>
      </c>
      <c r="R36" t="n">
        <v>342130</v>
      </c>
      <c r="S36" t="n">
        <v>310917</v>
      </c>
      <c r="T36" t="n">
        <v>368776</v>
      </c>
      <c r="U36" t="n">
        <v>335003</v>
      </c>
      <c r="V36" t="n">
        <v>374739</v>
      </c>
      <c r="W36" t="n">
        <v>412907</v>
      </c>
      <c r="X36" t="n">
        <v>395787</v>
      </c>
      <c r="Y36" t="n">
        <v>394848</v>
      </c>
      <c r="Z36" t="n">
        <v>377934</v>
      </c>
      <c r="AA36" t="n">
        <v>440704</v>
      </c>
      <c r="AB36" t="n">
        <v>489048</v>
      </c>
      <c r="AC36" t="n">
        <v>522399</v>
      </c>
      <c r="AD36" t="n">
        <v>530569</v>
      </c>
      <c r="AE36" t="n">
        <v>455376</v>
      </c>
      <c r="AF36" t="n">
        <v>614763</v>
      </c>
    </row>
    <row r="37">
      <c r="A37" t="s">
        <v>8</v>
      </c>
      <c r="B37" t="s">
        <v>231</v>
      </c>
      <c r="C37" t="s">
        <v>129</v>
      </c>
      <c r="D37" t="s">
        <v>232</v>
      </c>
      <c r="E37" t="s">
        <v>130</v>
      </c>
      <c r="F37" t="n">
        <v>71822</v>
      </c>
      <c r="G37" t="n">
        <v>93377</v>
      </c>
      <c r="H37" t="n">
        <v>128147</v>
      </c>
      <c r="I37" t="n">
        <v>125994</v>
      </c>
      <c r="J37" t="n">
        <v>162144</v>
      </c>
      <c r="K37" t="n">
        <v>228101</v>
      </c>
      <c r="L37" t="n">
        <v>227442</v>
      </c>
      <c r="M37" t="n">
        <v>234113</v>
      </c>
      <c r="N37" t="n">
        <v>264323</v>
      </c>
      <c r="O37" t="n">
        <v>281178</v>
      </c>
      <c r="P37" t="n">
        <v>328673</v>
      </c>
      <c r="Q37" t="n">
        <v>370366</v>
      </c>
      <c r="R37" t="n">
        <v>368485</v>
      </c>
      <c r="S37" t="n">
        <v>344775</v>
      </c>
      <c r="T37" t="n">
        <v>346329</v>
      </c>
      <c r="U37" t="n">
        <v>311416</v>
      </c>
      <c r="V37" t="n">
        <v>318786</v>
      </c>
      <c r="W37" t="n">
        <v>288960</v>
      </c>
      <c r="X37" t="n">
        <v>326041</v>
      </c>
      <c r="Y37" t="n">
        <v>321603</v>
      </c>
      <c r="Z37" t="n">
        <v>354658</v>
      </c>
      <c r="AA37" t="n">
        <v>376155</v>
      </c>
      <c r="AB37" t="n">
        <v>397022</v>
      </c>
      <c r="AC37" t="n">
        <v>367101</v>
      </c>
      <c r="AD37" t="n">
        <v>369251</v>
      </c>
      <c r="AE37" t="n">
        <v>324788</v>
      </c>
      <c r="AF37" t="n">
        <v>438481</v>
      </c>
    </row>
    <row r="38">
      <c r="A38" t="s">
        <v>8</v>
      </c>
      <c r="B38" t="s">
        <v>233</v>
      </c>
      <c r="C38" t="s">
        <v>129</v>
      </c>
      <c r="D38" t="s">
        <v>234</v>
      </c>
      <c r="E38" t="s">
        <v>130</v>
      </c>
      <c r="F38" t="n">
        <v>27001</v>
      </c>
      <c r="G38" t="n">
        <v>35932</v>
      </c>
      <c r="H38" t="n">
        <v>46957</v>
      </c>
      <c r="I38" t="n">
        <v>70178</v>
      </c>
      <c r="J38" t="n">
        <v>85057</v>
      </c>
      <c r="K38" t="n">
        <v>104950</v>
      </c>
      <c r="L38" t="n">
        <v>129481</v>
      </c>
      <c r="M38" t="n">
        <v>146522</v>
      </c>
      <c r="N38" t="n">
        <v>174207</v>
      </c>
      <c r="O38" t="n">
        <v>180692</v>
      </c>
      <c r="P38" t="n">
        <v>190631</v>
      </c>
      <c r="Q38" t="n">
        <v>221691</v>
      </c>
      <c r="R38" t="n">
        <v>234738</v>
      </c>
      <c r="S38" t="n">
        <v>257137</v>
      </c>
      <c r="T38" t="n">
        <v>290573</v>
      </c>
      <c r="U38" t="n">
        <v>276771</v>
      </c>
      <c r="V38" t="n">
        <v>283958</v>
      </c>
      <c r="W38" t="n">
        <v>280031</v>
      </c>
      <c r="X38" t="n">
        <v>295451</v>
      </c>
      <c r="Y38" t="n">
        <v>312352</v>
      </c>
      <c r="Z38" t="n">
        <v>350806</v>
      </c>
      <c r="AA38" t="n">
        <v>384204</v>
      </c>
      <c r="AB38" t="n">
        <v>435774</v>
      </c>
      <c r="AC38" t="n">
        <v>489378</v>
      </c>
      <c r="AD38" t="n">
        <v>582744</v>
      </c>
      <c r="AE38" t="n">
        <v>588785</v>
      </c>
      <c r="AF38" t="n">
        <v>742303</v>
      </c>
    </row>
    <row r="39">
      <c r="A39" t="s">
        <v>8</v>
      </c>
      <c r="B39" t="s">
        <v>235</v>
      </c>
      <c r="C39" t="s">
        <v>129</v>
      </c>
      <c r="D39" t="s">
        <v>236</v>
      </c>
      <c r="E39" t="s">
        <v>130</v>
      </c>
      <c r="F39" t="n">
        <v>145993</v>
      </c>
      <c r="G39" t="n">
        <v>163660</v>
      </c>
      <c r="H39" t="n">
        <v>217872</v>
      </c>
      <c r="I39" t="n">
        <v>293845</v>
      </c>
      <c r="J39" t="n">
        <v>341409</v>
      </c>
      <c r="K39" t="n">
        <v>413471</v>
      </c>
      <c r="L39" t="n">
        <v>436926</v>
      </c>
      <c r="M39" t="n">
        <v>503713</v>
      </c>
      <c r="N39" t="n">
        <v>582884</v>
      </c>
      <c r="O39" t="n">
        <v>634609</v>
      </c>
      <c r="P39" t="n">
        <v>731813</v>
      </c>
      <c r="Q39" t="n">
        <v>789516</v>
      </c>
      <c r="R39" t="n">
        <v>882243</v>
      </c>
      <c r="S39" t="n">
        <v>938780</v>
      </c>
      <c r="T39" t="n">
        <v>977050</v>
      </c>
      <c r="U39" t="n">
        <v>929950</v>
      </c>
      <c r="V39" t="n">
        <v>886430</v>
      </c>
      <c r="W39" t="n">
        <v>844680</v>
      </c>
      <c r="X39" t="n">
        <v>838852</v>
      </c>
      <c r="Y39" t="n">
        <v>851174</v>
      </c>
      <c r="Z39" t="n">
        <v>881336</v>
      </c>
      <c r="AA39" t="n">
        <v>902229</v>
      </c>
      <c r="AB39" t="n">
        <v>939941</v>
      </c>
      <c r="AC39" t="n">
        <v>997924</v>
      </c>
      <c r="AD39" t="n">
        <v>1048463</v>
      </c>
      <c r="AE39" t="n">
        <v>1092143</v>
      </c>
      <c r="AF39" t="n">
        <v>1198731</v>
      </c>
    </row>
    <row r="40">
      <c r="A40" t="s">
        <v>8</v>
      </c>
      <c r="B40" t="s">
        <v>237</v>
      </c>
      <c r="C40" t="s">
        <v>129</v>
      </c>
      <c r="D40" t="s">
        <v>238</v>
      </c>
      <c r="E40" t="s">
        <v>130</v>
      </c>
      <c r="F40" t="n">
        <v>107433</v>
      </c>
      <c r="G40" t="n">
        <v>160385</v>
      </c>
      <c r="H40" t="n">
        <v>195514</v>
      </c>
      <c r="I40" t="n">
        <v>228503</v>
      </c>
      <c r="J40" t="n">
        <v>274095</v>
      </c>
      <c r="K40" t="n">
        <v>401485</v>
      </c>
      <c r="L40" t="n">
        <v>487145</v>
      </c>
      <c r="M40" t="n">
        <v>548463</v>
      </c>
      <c r="N40" t="n">
        <v>623470</v>
      </c>
      <c r="O40" t="n">
        <v>695498</v>
      </c>
      <c r="P40" t="n">
        <v>795314</v>
      </c>
      <c r="Q40" t="n">
        <v>924929</v>
      </c>
      <c r="R40" t="n">
        <v>982789</v>
      </c>
      <c r="S40" t="n">
        <v>1002287</v>
      </c>
      <c r="T40" t="n">
        <v>1019045</v>
      </c>
      <c r="U40" t="n">
        <v>1002955</v>
      </c>
      <c r="V40" t="n">
        <v>939968</v>
      </c>
      <c r="W40" t="n">
        <v>885812</v>
      </c>
      <c r="X40" t="n">
        <v>901497</v>
      </c>
      <c r="Y40" t="n">
        <v>939313</v>
      </c>
      <c r="Z40" t="n">
        <v>1002831</v>
      </c>
      <c r="AA40" t="n">
        <v>1037215</v>
      </c>
      <c r="AB40" t="n">
        <v>1121874</v>
      </c>
      <c r="AC40" t="n">
        <v>1313421</v>
      </c>
      <c r="AD40" t="n">
        <v>1513165</v>
      </c>
      <c r="AE40" t="n">
        <v>1532356</v>
      </c>
      <c r="AF40" t="n">
        <v>1665951</v>
      </c>
    </row>
    <row r="41">
      <c r="A41" t="s">
        <v>8</v>
      </c>
      <c r="B41" t="s">
        <v>239</v>
      </c>
      <c r="C41" t="s">
        <v>129</v>
      </c>
      <c r="D41" t="s">
        <v>240</v>
      </c>
      <c r="E41" t="s">
        <v>130</v>
      </c>
      <c r="F41" t="n">
        <v>43339</v>
      </c>
      <c r="G41" t="n">
        <v>60489</v>
      </c>
      <c r="H41" t="n">
        <v>66349</v>
      </c>
      <c r="I41" t="n">
        <v>69772</v>
      </c>
      <c r="J41" t="n">
        <v>76750</v>
      </c>
      <c r="K41" t="n">
        <v>113224</v>
      </c>
      <c r="L41" t="n">
        <v>137171</v>
      </c>
      <c r="M41" t="n">
        <v>167544</v>
      </c>
      <c r="N41" t="n">
        <v>215712</v>
      </c>
      <c r="O41" t="n">
        <v>246579</v>
      </c>
      <c r="P41" t="n">
        <v>277982</v>
      </c>
      <c r="Q41" t="n">
        <v>338462</v>
      </c>
      <c r="R41" t="n">
        <v>319028</v>
      </c>
      <c r="S41" t="n">
        <v>292081</v>
      </c>
      <c r="T41" t="n">
        <v>358194</v>
      </c>
      <c r="U41" t="n">
        <v>410850</v>
      </c>
      <c r="V41" t="n">
        <v>390561</v>
      </c>
      <c r="W41" t="n">
        <v>388511</v>
      </c>
      <c r="X41" t="n">
        <v>387028</v>
      </c>
      <c r="Y41" t="n">
        <v>427881</v>
      </c>
      <c r="Z41" t="n">
        <v>455352</v>
      </c>
      <c r="AA41" t="n">
        <v>449551</v>
      </c>
      <c r="AB41" t="n">
        <v>459517</v>
      </c>
      <c r="AC41" t="n">
        <v>516602</v>
      </c>
      <c r="AD41" t="n">
        <v>580997</v>
      </c>
      <c r="AE41" t="n">
        <v>618145</v>
      </c>
      <c r="AF41" t="n">
        <v>687798</v>
      </c>
    </row>
    <row r="42">
      <c r="A42" t="s">
        <v>8</v>
      </c>
      <c r="B42" t="s">
        <v>241</v>
      </c>
      <c r="C42" t="s">
        <v>129</v>
      </c>
      <c r="D42" t="s">
        <v>242</v>
      </c>
      <c r="E42" t="s">
        <v>130</v>
      </c>
      <c r="F42" t="n">
        <v>177288</v>
      </c>
      <c r="G42" t="n">
        <v>210478</v>
      </c>
      <c r="H42" t="n">
        <v>282415</v>
      </c>
      <c r="I42" t="n">
        <v>289231</v>
      </c>
      <c r="J42" t="n">
        <v>334128</v>
      </c>
      <c r="K42" t="n">
        <v>380735</v>
      </c>
      <c r="L42" t="n">
        <v>487392</v>
      </c>
      <c r="M42" t="n">
        <v>551745</v>
      </c>
      <c r="N42" t="n">
        <v>642234</v>
      </c>
      <c r="O42" t="n">
        <v>708382</v>
      </c>
      <c r="P42" t="n">
        <v>767711</v>
      </c>
      <c r="Q42" t="n">
        <v>829074</v>
      </c>
      <c r="R42" t="n">
        <v>876577</v>
      </c>
      <c r="S42" t="n">
        <v>922429</v>
      </c>
      <c r="T42" t="n">
        <v>878962</v>
      </c>
      <c r="U42" t="n">
        <v>879758</v>
      </c>
      <c r="V42" t="n">
        <v>824156</v>
      </c>
      <c r="W42" t="n">
        <v>793594</v>
      </c>
      <c r="X42" t="n">
        <v>866466</v>
      </c>
      <c r="Y42" t="n">
        <v>936218</v>
      </c>
      <c r="Z42" t="n">
        <v>1020656</v>
      </c>
      <c r="AA42" t="n">
        <v>1069521</v>
      </c>
      <c r="AB42" t="n">
        <v>1174774</v>
      </c>
      <c r="AC42" t="n">
        <v>1350137</v>
      </c>
      <c r="AD42" t="n">
        <v>1578931</v>
      </c>
      <c r="AE42" t="n">
        <v>1691919</v>
      </c>
      <c r="AF42" t="n">
        <v>1957658</v>
      </c>
    </row>
    <row r="43">
      <c r="A43" t="s">
        <v>8</v>
      </c>
      <c r="B43" t="s">
        <v>243</v>
      </c>
      <c r="C43" t="s">
        <v>129</v>
      </c>
      <c r="D43" t="s">
        <v>244</v>
      </c>
      <c r="E43" t="s">
        <v>130</v>
      </c>
      <c r="F43" t="n">
        <v>271677</v>
      </c>
      <c r="G43" t="n">
        <v>329569</v>
      </c>
      <c r="H43" t="n">
        <v>425381</v>
      </c>
      <c r="I43" t="n">
        <v>449581</v>
      </c>
      <c r="J43" t="n">
        <v>516760</v>
      </c>
      <c r="K43" t="n">
        <v>601164</v>
      </c>
      <c r="L43" t="n">
        <v>783286</v>
      </c>
      <c r="M43" t="n">
        <v>868258</v>
      </c>
      <c r="N43" t="n">
        <v>1025425</v>
      </c>
      <c r="O43" t="n">
        <v>1118964</v>
      </c>
      <c r="P43" t="n">
        <v>1199179</v>
      </c>
      <c r="Q43" t="n">
        <v>1295100</v>
      </c>
      <c r="R43" t="n">
        <v>1358185</v>
      </c>
      <c r="S43" t="n">
        <v>1488232</v>
      </c>
      <c r="T43" t="n">
        <v>1440842</v>
      </c>
      <c r="U43" t="n">
        <v>1438322</v>
      </c>
      <c r="V43" t="n">
        <v>1366398</v>
      </c>
      <c r="W43" t="n">
        <v>1353351</v>
      </c>
      <c r="X43" t="n">
        <v>1468043</v>
      </c>
      <c r="Y43" t="n">
        <v>1607885</v>
      </c>
      <c r="Z43" t="n">
        <v>1767460</v>
      </c>
      <c r="AA43" t="n">
        <v>1859895</v>
      </c>
      <c r="AB43" t="n">
        <v>2008999</v>
      </c>
      <c r="AC43" t="n">
        <v>2355963</v>
      </c>
      <c r="AD43" t="n">
        <v>2649608</v>
      </c>
      <c r="AE43" t="n">
        <v>2568933</v>
      </c>
      <c r="AF43" t="n">
        <v>3039209</v>
      </c>
    </row>
    <row r="44">
      <c r="A44" t="s">
        <v>8</v>
      </c>
      <c r="B44" t="s">
        <v>245</v>
      </c>
      <c r="C44" t="s">
        <v>129</v>
      </c>
      <c r="D44" t="s">
        <v>246</v>
      </c>
      <c r="E44" t="s">
        <v>130</v>
      </c>
      <c r="F44" t="n">
        <v>5737813</v>
      </c>
      <c r="G44" t="n">
        <v>7136553</v>
      </c>
      <c r="H44" t="n">
        <v>8996776</v>
      </c>
      <c r="I44" t="n">
        <v>10830249</v>
      </c>
      <c r="J44" t="n">
        <v>12619274</v>
      </c>
      <c r="K44" t="n">
        <v>15166507</v>
      </c>
      <c r="L44" t="n">
        <v>16949540</v>
      </c>
      <c r="M44" t="n">
        <v>17934579</v>
      </c>
      <c r="N44" t="n">
        <v>19584673</v>
      </c>
      <c r="O44" t="n">
        <v>21408213</v>
      </c>
      <c r="P44" t="n">
        <v>23999079</v>
      </c>
      <c r="Q44" t="n">
        <v>27137920</v>
      </c>
      <c r="R44" t="n">
        <v>28152112</v>
      </c>
      <c r="S44" t="n">
        <v>30410388</v>
      </c>
      <c r="T44" t="n">
        <v>27334119</v>
      </c>
      <c r="U44" t="n">
        <v>29357191</v>
      </c>
      <c r="V44" t="n">
        <v>31778129</v>
      </c>
      <c r="W44" t="n">
        <v>31326922</v>
      </c>
      <c r="X44" t="n">
        <v>32638693</v>
      </c>
      <c r="Y44" t="n">
        <v>34826520</v>
      </c>
      <c r="Z44" t="n">
        <v>36455845</v>
      </c>
      <c r="AA44" t="n">
        <v>37498285</v>
      </c>
      <c r="AB44" t="n">
        <v>40059385</v>
      </c>
      <c r="AC44" t="n">
        <v>44221718</v>
      </c>
      <c r="AD44" t="n">
        <v>48536414</v>
      </c>
      <c r="AE44" t="n">
        <v>47971619</v>
      </c>
      <c r="AF44" t="n">
        <v>57425914</v>
      </c>
    </row>
    <row r="45">
      <c r="A45" t="s">
        <v>8</v>
      </c>
      <c r="B45" t="s">
        <v>247</v>
      </c>
      <c r="C45" t="s">
        <v>129</v>
      </c>
      <c r="D45" t="s">
        <v>248</v>
      </c>
      <c r="E45" t="s">
        <v>130</v>
      </c>
      <c r="F45" t="n">
        <v>5145200</v>
      </c>
      <c r="G45" t="n">
        <v>6352330</v>
      </c>
      <c r="H45" t="n">
        <v>8193825</v>
      </c>
      <c r="I45" t="n">
        <v>9961323</v>
      </c>
      <c r="J45" t="n">
        <v>11693452</v>
      </c>
      <c r="K45" t="n">
        <v>14162949</v>
      </c>
      <c r="L45" t="n">
        <v>15738647</v>
      </c>
      <c r="M45" t="n">
        <v>16715601</v>
      </c>
      <c r="N45" t="n">
        <v>18416466</v>
      </c>
      <c r="O45" t="n">
        <v>20208892</v>
      </c>
      <c r="P45" t="n">
        <v>22837960</v>
      </c>
      <c r="Q45" t="n">
        <v>25878622</v>
      </c>
      <c r="R45" t="n">
        <v>26795948</v>
      </c>
      <c r="S45" t="n">
        <v>28982271</v>
      </c>
      <c r="T45" t="n">
        <v>26004086</v>
      </c>
      <c r="U45" t="n">
        <v>28062595</v>
      </c>
      <c r="V45" t="n">
        <v>30271859</v>
      </c>
      <c r="W45" t="n">
        <v>29759330</v>
      </c>
      <c r="X45" t="n">
        <v>30972161</v>
      </c>
      <c r="Y45" t="n">
        <v>33144597</v>
      </c>
      <c r="Z45" t="n">
        <v>34761337</v>
      </c>
      <c r="AA45" t="n">
        <v>35780629</v>
      </c>
      <c r="AB45" t="n">
        <v>38361404</v>
      </c>
      <c r="AC45" t="n">
        <v>42398867</v>
      </c>
      <c r="AD45" t="n">
        <v>46616119</v>
      </c>
      <c r="AE45" t="n">
        <v>45948591</v>
      </c>
      <c r="AF45" t="n">
        <v>55074341</v>
      </c>
    </row>
    <row r="46">
      <c r="A46" t="s">
        <v>8</v>
      </c>
      <c r="B46" t="s">
        <v>249</v>
      </c>
      <c r="C46" t="s">
        <v>129</v>
      </c>
      <c r="D46" t="s">
        <v>250</v>
      </c>
      <c r="E46" t="s">
        <v>130</v>
      </c>
      <c r="F46" t="n">
        <v>94389</v>
      </c>
      <c r="G46" t="n">
        <v>119091</v>
      </c>
      <c r="H46" t="n">
        <v>142966</v>
      </c>
      <c r="I46" t="n">
        <v>160350</v>
      </c>
      <c r="J46" t="n">
        <v>182632</v>
      </c>
      <c r="K46" t="n">
        <v>220429</v>
      </c>
      <c r="L46" t="n">
        <v>295894</v>
      </c>
      <c r="M46" t="n">
        <v>316513</v>
      </c>
      <c r="N46" t="n">
        <v>383191</v>
      </c>
      <c r="O46" t="n">
        <v>410582</v>
      </c>
      <c r="P46" t="n">
        <v>431468</v>
      </c>
      <c r="Q46" t="n">
        <v>466026</v>
      </c>
      <c r="R46" t="n">
        <v>481608</v>
      </c>
      <c r="S46" t="n">
        <v>565803</v>
      </c>
      <c r="T46" t="n">
        <v>561880</v>
      </c>
      <c r="U46" t="n">
        <v>558564</v>
      </c>
      <c r="V46" t="n">
        <v>542242</v>
      </c>
      <c r="W46" t="n">
        <v>559757</v>
      </c>
      <c r="X46" t="n">
        <v>601577</v>
      </c>
      <c r="Y46" t="n">
        <v>671667</v>
      </c>
      <c r="Z46" t="n">
        <v>746804</v>
      </c>
      <c r="AA46" t="n">
        <v>790374</v>
      </c>
      <c r="AB46" t="n">
        <v>834225</v>
      </c>
      <c r="AC46" t="n">
        <v>1005826</v>
      </c>
      <c r="AD46" t="n">
        <v>1070677</v>
      </c>
      <c r="AE46" t="n">
        <v>877014</v>
      </c>
      <c r="AF46" t="n">
        <v>1081551</v>
      </c>
    </row>
    <row r="47">
      <c r="A47" t="s">
        <v>8</v>
      </c>
      <c r="B47" t="s">
        <v>251</v>
      </c>
      <c r="C47" t="s">
        <v>129</v>
      </c>
      <c r="D47" t="s">
        <v>252</v>
      </c>
      <c r="E47" t="s">
        <v>130</v>
      </c>
      <c r="F47" t="n">
        <v>189143</v>
      </c>
      <c r="G47" t="n">
        <v>216272</v>
      </c>
      <c r="H47" t="n">
        <v>235398</v>
      </c>
      <c r="I47" t="n">
        <v>270819</v>
      </c>
      <c r="J47" t="n">
        <v>298205</v>
      </c>
      <c r="K47" t="n">
        <v>356318</v>
      </c>
      <c r="L47" t="n">
        <v>382158</v>
      </c>
      <c r="M47" t="n">
        <v>424718</v>
      </c>
      <c r="N47" t="n">
        <v>465016</v>
      </c>
      <c r="O47" t="n">
        <v>494208</v>
      </c>
      <c r="P47" t="n">
        <v>538653</v>
      </c>
      <c r="Q47" t="n">
        <v>623680</v>
      </c>
      <c r="R47" t="n">
        <v>642503</v>
      </c>
      <c r="S47" t="n">
        <v>739191</v>
      </c>
      <c r="T47" t="n">
        <v>769541</v>
      </c>
      <c r="U47" t="n">
        <v>761375</v>
      </c>
      <c r="V47" t="n">
        <v>728983</v>
      </c>
      <c r="W47" t="n">
        <v>724385</v>
      </c>
      <c r="X47" t="n">
        <v>836127</v>
      </c>
      <c r="Y47" t="n">
        <v>1004731</v>
      </c>
      <c r="Z47" t="n">
        <v>1016805</v>
      </c>
      <c r="AA47" t="n">
        <v>1004100</v>
      </c>
      <c r="AB47" t="n">
        <v>1246497</v>
      </c>
      <c r="AC47" t="n">
        <v>1371276</v>
      </c>
      <c r="AD47" t="n">
        <v>1626647</v>
      </c>
      <c r="AE47" t="n">
        <v>1469276</v>
      </c>
      <c r="AF47" t="n">
        <v>1706324</v>
      </c>
    </row>
    <row r="48">
      <c r="A48" t="s">
        <v>8</v>
      </c>
      <c r="B48" t="s">
        <v>253</v>
      </c>
      <c r="C48" t="s">
        <v>129</v>
      </c>
      <c r="D48" t="s">
        <v>254</v>
      </c>
      <c r="E48" t="s">
        <v>130</v>
      </c>
      <c r="F48" t="n">
        <v>397115</v>
      </c>
      <c r="G48" t="n">
        <v>477869</v>
      </c>
      <c r="H48" t="n">
        <v>521240</v>
      </c>
      <c r="I48" t="n">
        <v>622700</v>
      </c>
      <c r="J48" t="n">
        <v>704139</v>
      </c>
      <c r="K48" t="n">
        <v>813425</v>
      </c>
      <c r="L48" t="n">
        <v>908855</v>
      </c>
      <c r="M48" t="n">
        <v>1025632</v>
      </c>
      <c r="N48" t="n">
        <v>1131004</v>
      </c>
      <c r="O48" t="n">
        <v>1211537</v>
      </c>
      <c r="P48" t="n">
        <v>1333780</v>
      </c>
      <c r="Q48" t="n">
        <v>1461071</v>
      </c>
      <c r="R48" t="n">
        <v>1470698</v>
      </c>
      <c r="S48" t="n">
        <v>1659870</v>
      </c>
      <c r="T48" t="n">
        <v>1789262</v>
      </c>
      <c r="U48" t="n">
        <v>1802134</v>
      </c>
      <c r="V48" t="n">
        <v>1740820</v>
      </c>
      <c r="W48" t="n">
        <v>1730725</v>
      </c>
      <c r="X48" t="n">
        <v>1844625</v>
      </c>
      <c r="Y48" t="n">
        <v>2088319</v>
      </c>
      <c r="Z48" t="n">
        <v>2266721</v>
      </c>
      <c r="AA48" t="n">
        <v>2269250</v>
      </c>
      <c r="AB48" t="n">
        <v>2633562</v>
      </c>
      <c r="AC48" t="n">
        <v>2887081</v>
      </c>
      <c r="AD48" t="n">
        <v>3275995</v>
      </c>
      <c r="AE48" t="n">
        <v>3419831</v>
      </c>
      <c r="AF48" t="n">
        <v>3902595</v>
      </c>
    </row>
    <row r="49">
      <c r="A49" t="s">
        <v>8</v>
      </c>
      <c r="B49" t="s">
        <v>255</v>
      </c>
      <c r="C49" t="s">
        <v>129</v>
      </c>
      <c r="D49" t="s">
        <v>256</v>
      </c>
      <c r="E49" t="s">
        <v>130</v>
      </c>
      <c r="F49" t="n">
        <v>70133</v>
      </c>
      <c r="G49" t="n">
        <v>84903</v>
      </c>
      <c r="H49" t="n">
        <v>96651</v>
      </c>
      <c r="I49" t="n">
        <v>123665</v>
      </c>
      <c r="J49" t="n">
        <v>143109</v>
      </c>
      <c r="K49" t="n">
        <v>158531</v>
      </c>
      <c r="L49" t="n">
        <v>182653</v>
      </c>
      <c r="M49" t="n">
        <v>209057</v>
      </c>
      <c r="N49" t="n">
        <v>226475</v>
      </c>
      <c r="O49" t="n">
        <v>248963</v>
      </c>
      <c r="P49" t="n">
        <v>276452</v>
      </c>
      <c r="Q49" t="n">
        <v>294036</v>
      </c>
      <c r="R49" t="n">
        <v>285918</v>
      </c>
      <c r="S49" t="n">
        <v>316563</v>
      </c>
      <c r="T49" t="n">
        <v>338927</v>
      </c>
      <c r="U49" t="n">
        <v>342397</v>
      </c>
      <c r="V49" t="n">
        <v>322978</v>
      </c>
      <c r="W49" t="n">
        <v>304821</v>
      </c>
      <c r="X49" t="n">
        <v>305833</v>
      </c>
      <c r="Y49" t="n">
        <v>361733</v>
      </c>
      <c r="Z49" t="n">
        <v>362290</v>
      </c>
      <c r="AA49" t="n">
        <v>382720</v>
      </c>
      <c r="AB49" t="n">
        <v>433331</v>
      </c>
      <c r="AC49" t="n">
        <v>473236</v>
      </c>
      <c r="AD49" t="n">
        <v>535112</v>
      </c>
      <c r="AE49" t="n">
        <v>513588</v>
      </c>
      <c r="AF49" t="n">
        <v>584098</v>
      </c>
    </row>
    <row r="50">
      <c r="A50" t="s">
        <v>8</v>
      </c>
      <c r="B50" t="s">
        <v>257</v>
      </c>
      <c r="C50" t="s">
        <v>129</v>
      </c>
      <c r="D50" t="s">
        <v>258</v>
      </c>
      <c r="E50" t="s">
        <v>130</v>
      </c>
      <c r="F50" t="n">
        <v>137839</v>
      </c>
      <c r="G50" t="n">
        <v>176694</v>
      </c>
      <c r="H50" t="n">
        <v>189191</v>
      </c>
      <c r="I50" t="n">
        <v>228216</v>
      </c>
      <c r="J50" t="n">
        <v>262825</v>
      </c>
      <c r="K50" t="n">
        <v>298576</v>
      </c>
      <c r="L50" t="n">
        <v>344044</v>
      </c>
      <c r="M50" t="n">
        <v>391857</v>
      </c>
      <c r="N50" t="n">
        <v>439513</v>
      </c>
      <c r="O50" t="n">
        <v>468366</v>
      </c>
      <c r="P50" t="n">
        <v>518675</v>
      </c>
      <c r="Q50" t="n">
        <v>543355</v>
      </c>
      <c r="R50" t="n">
        <v>542277</v>
      </c>
      <c r="S50" t="n">
        <v>604116</v>
      </c>
      <c r="T50" t="n">
        <v>680794</v>
      </c>
      <c r="U50" t="n">
        <v>698362</v>
      </c>
      <c r="V50" t="n">
        <v>688859</v>
      </c>
      <c r="W50" t="n">
        <v>701519</v>
      </c>
      <c r="X50" t="n">
        <v>702665</v>
      </c>
      <c r="Y50" t="n">
        <v>721855</v>
      </c>
      <c r="Z50" t="n">
        <v>887626</v>
      </c>
      <c r="AA50" t="n">
        <v>882430</v>
      </c>
      <c r="AB50" t="n">
        <v>953734</v>
      </c>
      <c r="AC50" t="n">
        <v>1042569</v>
      </c>
      <c r="AD50" t="n">
        <v>1114236</v>
      </c>
      <c r="AE50" t="n">
        <v>1436967</v>
      </c>
      <c r="AF50" t="n">
        <v>1612173</v>
      </c>
    </row>
    <row r="51">
      <c r="A51" t="s">
        <v>8</v>
      </c>
      <c r="B51" t="s">
        <v>259</v>
      </c>
      <c r="C51" t="s">
        <v>129</v>
      </c>
      <c r="D51" t="s">
        <v>260</v>
      </c>
      <c r="E51" t="s">
        <v>130</v>
      </c>
      <c r="F51" t="n">
        <v>117994</v>
      </c>
      <c r="G51" t="n">
        <v>150988</v>
      </c>
      <c r="H51" t="n">
        <v>158933</v>
      </c>
      <c r="I51" t="n">
        <v>190137</v>
      </c>
      <c r="J51" t="n">
        <v>220573</v>
      </c>
      <c r="K51" t="n">
        <v>250988</v>
      </c>
      <c r="L51" t="n">
        <v>288961</v>
      </c>
      <c r="M51" t="n">
        <v>329698</v>
      </c>
      <c r="N51" t="n">
        <v>367739</v>
      </c>
      <c r="O51" t="n">
        <v>383878</v>
      </c>
      <c r="P51" t="n">
        <v>422990</v>
      </c>
      <c r="Q51" t="n">
        <v>438625</v>
      </c>
      <c r="R51" t="n">
        <v>425503</v>
      </c>
      <c r="S51" t="n">
        <v>474965</v>
      </c>
      <c r="T51" t="n">
        <v>541267</v>
      </c>
      <c r="U51" t="n">
        <v>553586</v>
      </c>
      <c r="V51" t="n">
        <v>541216</v>
      </c>
      <c r="W51" t="n">
        <v>553798</v>
      </c>
      <c r="X51" t="n">
        <v>540298</v>
      </c>
      <c r="Y51" t="n">
        <v>554200</v>
      </c>
      <c r="Z51" t="n">
        <v>704952</v>
      </c>
      <c r="AA51" t="n">
        <v>712703</v>
      </c>
      <c r="AB51" t="n">
        <v>758957</v>
      </c>
      <c r="AC51" t="n">
        <v>817585</v>
      </c>
      <c r="AD51" t="n">
        <v>850803</v>
      </c>
      <c r="AE51" t="n">
        <v>1181523</v>
      </c>
      <c r="AF51" t="n">
        <v>1318998</v>
      </c>
    </row>
    <row r="52">
      <c r="A52" t="s">
        <v>8</v>
      </c>
      <c r="B52" t="s">
        <v>261</v>
      </c>
      <c r="C52" t="s">
        <v>129</v>
      </c>
      <c r="D52" t="s">
        <v>262</v>
      </c>
      <c r="E52" t="s">
        <v>130</v>
      </c>
      <c r="F52" t="n">
        <v>19845</v>
      </c>
      <c r="G52" t="n">
        <v>25706</v>
      </c>
      <c r="H52" t="n">
        <v>30258</v>
      </c>
      <c r="I52" t="n">
        <v>38079</v>
      </c>
      <c r="J52" t="n">
        <v>42252</v>
      </c>
      <c r="K52" t="n">
        <v>47588</v>
      </c>
      <c r="L52" t="n">
        <v>55083</v>
      </c>
      <c r="M52" t="n">
        <v>62159</v>
      </c>
      <c r="N52" t="n">
        <v>71774</v>
      </c>
      <c r="O52" t="n">
        <v>84488</v>
      </c>
      <c r="P52" t="n">
        <v>95685</v>
      </c>
      <c r="Q52" t="n">
        <v>104730</v>
      </c>
      <c r="R52" t="n">
        <v>116774</v>
      </c>
      <c r="S52" t="n">
        <v>129151</v>
      </c>
      <c r="T52" t="n">
        <v>139527</v>
      </c>
      <c r="U52" t="n">
        <v>144776</v>
      </c>
      <c r="V52" t="n">
        <v>147643</v>
      </c>
      <c r="W52" t="n">
        <v>147721</v>
      </c>
      <c r="X52" t="n">
        <v>162367</v>
      </c>
      <c r="Y52" t="n">
        <v>167655</v>
      </c>
      <c r="Z52" t="n">
        <v>182674</v>
      </c>
      <c r="AA52" t="n">
        <v>169727</v>
      </c>
      <c r="AB52" t="n">
        <v>194777</v>
      </c>
      <c r="AC52" t="n">
        <v>224984</v>
      </c>
      <c r="AD52" t="n">
        <v>263433</v>
      </c>
      <c r="AE52" t="n">
        <v>255444</v>
      </c>
      <c r="AF52" t="n">
        <v>293175</v>
      </c>
    </row>
    <row r="53">
      <c r="A53" t="s">
        <v>8</v>
      </c>
      <c r="B53" t="s">
        <v>263</v>
      </c>
      <c r="C53" t="s">
        <v>129</v>
      </c>
      <c r="D53" t="s">
        <v>264</v>
      </c>
      <c r="E53" t="s">
        <v>130</v>
      </c>
      <c r="F53" t="n">
        <v>71784</v>
      </c>
      <c r="G53" t="n">
        <v>94233</v>
      </c>
      <c r="H53" t="n">
        <v>94412</v>
      </c>
      <c r="I53" t="n">
        <v>140992</v>
      </c>
      <c r="J53" t="n">
        <v>130726</v>
      </c>
      <c r="K53" t="n">
        <v>162465</v>
      </c>
      <c r="L53" t="n">
        <v>164663</v>
      </c>
      <c r="M53" t="n">
        <v>195066</v>
      </c>
      <c r="N53" t="n">
        <v>214820</v>
      </c>
      <c r="O53" t="n">
        <v>223456</v>
      </c>
      <c r="P53" t="n">
        <v>235468</v>
      </c>
      <c r="Q53" t="n">
        <v>249333</v>
      </c>
      <c r="R53" t="n">
        <v>252590</v>
      </c>
      <c r="S53" t="n">
        <v>285255</v>
      </c>
      <c r="T53" t="n">
        <v>295743</v>
      </c>
      <c r="U53" t="n">
        <v>297163</v>
      </c>
      <c r="V53" t="n">
        <v>310201</v>
      </c>
      <c r="W53" t="n">
        <v>308036</v>
      </c>
      <c r="X53" t="n">
        <v>325451</v>
      </c>
      <c r="Y53" t="n">
        <v>360707</v>
      </c>
      <c r="Z53" t="n">
        <v>405544</v>
      </c>
      <c r="AA53" t="n">
        <v>477483</v>
      </c>
      <c r="AB53" t="n">
        <v>609173</v>
      </c>
      <c r="AC53" t="n">
        <v>610367</v>
      </c>
      <c r="AD53" t="n">
        <v>640684</v>
      </c>
      <c r="AE53" t="n">
        <v>551725</v>
      </c>
      <c r="AF53" t="n">
        <v>676726</v>
      </c>
    </row>
    <row r="54">
      <c r="A54" t="s">
        <v>8</v>
      </c>
      <c r="B54" t="s">
        <v>265</v>
      </c>
      <c r="C54" t="s">
        <v>129</v>
      </c>
      <c r="D54" t="s">
        <v>266</v>
      </c>
      <c r="E54" t="s">
        <v>130</v>
      </c>
      <c r="F54" t="n">
        <v>140774</v>
      </c>
      <c r="G54" t="n">
        <v>174576</v>
      </c>
      <c r="H54" t="n">
        <v>194496</v>
      </c>
      <c r="I54" t="n">
        <v>265415</v>
      </c>
      <c r="J54" t="n">
        <v>268028</v>
      </c>
      <c r="K54" t="n">
        <v>303474</v>
      </c>
      <c r="L54" t="n">
        <v>327660</v>
      </c>
      <c r="M54" t="n">
        <v>374561</v>
      </c>
      <c r="N54" t="n">
        <v>401377</v>
      </c>
      <c r="O54" t="n">
        <v>435428</v>
      </c>
      <c r="P54" t="n">
        <v>486543</v>
      </c>
      <c r="Q54" t="n">
        <v>509911</v>
      </c>
      <c r="R54" t="n">
        <v>511228</v>
      </c>
      <c r="S54" t="n">
        <v>561240</v>
      </c>
      <c r="T54" t="n">
        <v>579635</v>
      </c>
      <c r="U54" t="n">
        <v>565715</v>
      </c>
      <c r="V54" t="n">
        <v>579212</v>
      </c>
      <c r="W54" t="n">
        <v>565562</v>
      </c>
      <c r="X54" t="n">
        <v>598212</v>
      </c>
      <c r="Y54" t="n">
        <v>668692</v>
      </c>
      <c r="Z54" t="n">
        <v>747635</v>
      </c>
      <c r="AA54" t="n">
        <v>812888</v>
      </c>
      <c r="AB54" t="n">
        <v>956379</v>
      </c>
      <c r="AC54" t="n">
        <v>997933</v>
      </c>
      <c r="AD54" t="n">
        <v>1062496</v>
      </c>
      <c r="AE54" t="n">
        <v>979671</v>
      </c>
      <c r="AF54" t="n">
        <v>1169846</v>
      </c>
    </row>
    <row r="55">
      <c r="A55" t="s">
        <v>8</v>
      </c>
      <c r="B55" t="s">
        <v>267</v>
      </c>
      <c r="C55" t="s">
        <v>129</v>
      </c>
      <c r="D55" t="s">
        <v>268</v>
      </c>
      <c r="E55" t="s">
        <v>130</v>
      </c>
      <c r="F55" t="n">
        <v>68990</v>
      </c>
      <c r="G55" t="n">
        <v>80343</v>
      </c>
      <c r="H55" t="n">
        <v>100084</v>
      </c>
      <c r="I55" t="n">
        <v>124423</v>
      </c>
      <c r="J55" t="n">
        <v>137302</v>
      </c>
      <c r="K55" t="n">
        <v>141009</v>
      </c>
      <c r="L55" t="n">
        <v>162997</v>
      </c>
      <c r="M55" t="n">
        <v>179495</v>
      </c>
      <c r="N55" t="n">
        <v>186557</v>
      </c>
      <c r="O55" t="n">
        <v>211972</v>
      </c>
      <c r="P55" t="n">
        <v>251075</v>
      </c>
      <c r="Q55" t="n">
        <v>260578</v>
      </c>
      <c r="R55" t="n">
        <v>258638</v>
      </c>
      <c r="S55" t="n">
        <v>275985</v>
      </c>
      <c r="T55" t="n">
        <v>283892</v>
      </c>
      <c r="U55" t="n">
        <v>268552</v>
      </c>
      <c r="V55" t="n">
        <v>269011</v>
      </c>
      <c r="W55" t="n">
        <v>257526</v>
      </c>
      <c r="X55" t="n">
        <v>272761</v>
      </c>
      <c r="Y55" t="n">
        <v>307985</v>
      </c>
      <c r="Z55" t="n">
        <v>342091</v>
      </c>
      <c r="AA55" t="n">
        <v>335405</v>
      </c>
      <c r="AB55" t="n">
        <v>347206</v>
      </c>
      <c r="AC55" t="n">
        <v>387566</v>
      </c>
      <c r="AD55" t="n">
        <v>421812</v>
      </c>
      <c r="AE55" t="n">
        <v>427946</v>
      </c>
      <c r="AF55" t="n">
        <v>493120</v>
      </c>
    </row>
    <row r="56">
      <c r="A56" t="s">
        <v>8</v>
      </c>
      <c r="B56" t="s">
        <v>269</v>
      </c>
      <c r="C56" t="s">
        <v>129</v>
      </c>
      <c r="D56" t="s">
        <v>270</v>
      </c>
      <c r="E56" t="s">
        <v>130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</v>
      </c>
      <c r="B57" t="s">
        <v>271</v>
      </c>
      <c r="C57" t="s">
        <v>129</v>
      </c>
      <c r="D57" t="s">
        <v>272</v>
      </c>
      <c r="E57" t="s">
        <v>130</v>
      </c>
      <c r="F57" t="n">
        <v>6242361</v>
      </c>
      <c r="G57" t="n">
        <v>7774807</v>
      </c>
      <c r="H57" t="n">
        <v>9713530</v>
      </c>
      <c r="I57" t="n">
        <v>11681452</v>
      </c>
      <c r="J57" t="n">
        <v>13597508</v>
      </c>
      <c r="K57" t="n">
        <v>16381417</v>
      </c>
      <c r="L57" t="n">
        <v>18345540</v>
      </c>
      <c r="M57" t="n">
        <v>19508674</v>
      </c>
      <c r="N57" t="n">
        <v>21339147</v>
      </c>
      <c r="O57" t="n">
        <v>23315248</v>
      </c>
      <c r="P57" t="n">
        <v>26128173</v>
      </c>
      <c r="Q57" t="n">
        <v>29523920</v>
      </c>
      <c r="R57" t="n">
        <v>30605599</v>
      </c>
      <c r="S57" t="n">
        <v>33072545</v>
      </c>
      <c r="T57" t="n">
        <v>30142426</v>
      </c>
      <c r="U57" t="n">
        <v>32162280</v>
      </c>
      <c r="V57" t="n">
        <v>34458917</v>
      </c>
      <c r="W57" t="n">
        <v>33943459</v>
      </c>
      <c r="X57" t="n">
        <v>35384815</v>
      </c>
      <c r="Y57" t="n">
        <v>37854152</v>
      </c>
      <c r="Z57" t="n">
        <v>39725397</v>
      </c>
      <c r="AA57" t="n">
        <v>40804750</v>
      </c>
      <c r="AB57" t="n">
        <v>43814821</v>
      </c>
      <c r="AC57" t="n">
        <v>48422220</v>
      </c>
      <c r="AD57" t="n">
        <v>53325574</v>
      </c>
      <c r="AE57" t="n">
        <v>52923806</v>
      </c>
      <c r="AF57" t="n">
        <v>62994460</v>
      </c>
    </row>
    <row r="58">
      <c r="A58" t="s">
        <v>8</v>
      </c>
      <c r="B58" t="s">
        <v>273</v>
      </c>
      <c r="C58" t="s">
        <v>129</v>
      </c>
      <c r="D58" t="s">
        <v>274</v>
      </c>
      <c r="E58" t="s">
        <v>130</v>
      </c>
      <c r="F58" t="n">
        <v>6242361</v>
      </c>
      <c r="G58" t="n">
        <v>7774807</v>
      </c>
      <c r="H58" t="n">
        <v>9713530</v>
      </c>
      <c r="I58" t="n">
        <v>11681452</v>
      </c>
      <c r="J58" t="n">
        <v>13597508</v>
      </c>
      <c r="K58" t="n">
        <v>16381417</v>
      </c>
      <c r="L58" t="n">
        <v>18345540</v>
      </c>
      <c r="M58" t="n">
        <v>19508674</v>
      </c>
      <c r="N58" t="n">
        <v>21339147</v>
      </c>
      <c r="O58" t="n">
        <v>23315248</v>
      </c>
      <c r="P58" t="n">
        <v>26128173</v>
      </c>
      <c r="Q58" t="n">
        <v>29523920</v>
      </c>
      <c r="R58" t="n">
        <v>30605599</v>
      </c>
      <c r="S58" t="n">
        <v>33072545</v>
      </c>
      <c r="T58" t="n">
        <v>30142426</v>
      </c>
      <c r="U58" t="n">
        <v>32162280</v>
      </c>
      <c r="V58" t="n">
        <v>34458917</v>
      </c>
      <c r="W58" t="n">
        <v>33943459</v>
      </c>
      <c r="X58" t="n">
        <v>35384815</v>
      </c>
      <c r="Y58" t="n">
        <v>37854152</v>
      </c>
      <c r="Z58" t="n">
        <v>39725397</v>
      </c>
      <c r="AA58" t="n">
        <v>40804750</v>
      </c>
      <c r="AB58" t="n">
        <v>43814821</v>
      </c>
      <c r="AC58" t="n">
        <v>48422220</v>
      </c>
      <c r="AD58" t="n">
        <v>53325574</v>
      </c>
      <c r="AE58" t="n">
        <v>52923806</v>
      </c>
      <c r="AF58" t="n">
        <v>62994460</v>
      </c>
    </row>
    <row r="59">
      <c r="A59" t="s">
        <v>8</v>
      </c>
      <c r="B59" t="s">
        <v>275</v>
      </c>
      <c r="C59" t="s">
        <v>129</v>
      </c>
      <c r="D59" t="s">
        <v>276</v>
      </c>
      <c r="E59" t="s">
        <v>130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>
      <c r="A2" t="s">
        <v>10</v>
      </c>
      <c r="B2" t="s">
        <v>84</v>
      </c>
      <c r="C2" t="s">
        <v>129</v>
      </c>
      <c r="D2" t="s">
        <v>86</v>
      </c>
      <c r="E2" t="s">
        <v>130</v>
      </c>
      <c r="F2"/>
      <c r="G2" t="n">
        <v>446949</v>
      </c>
      <c r="H2" t="n">
        <v>510516</v>
      </c>
      <c r="I2" t="n">
        <v>598546</v>
      </c>
      <c r="J2" t="n">
        <v>663232</v>
      </c>
      <c r="K2" t="n">
        <v>571319</v>
      </c>
      <c r="L2" t="n">
        <v>759986</v>
      </c>
      <c r="M2" t="n">
        <v>655937</v>
      </c>
      <c r="N2" t="n">
        <v>761716</v>
      </c>
      <c r="O2" t="n">
        <v>1120468</v>
      </c>
      <c r="P2" t="n">
        <v>865876</v>
      </c>
      <c r="Q2" t="n">
        <v>787264</v>
      </c>
      <c r="R2" t="n">
        <v>688274</v>
      </c>
      <c r="S2" t="n">
        <v>1394596</v>
      </c>
      <c r="T2" t="n">
        <v>818080</v>
      </c>
      <c r="U2" t="n">
        <v>617009</v>
      </c>
      <c r="V2" t="n">
        <v>961757</v>
      </c>
      <c r="W2" t="n">
        <v>890662</v>
      </c>
      <c r="X2" t="n">
        <v>1291613</v>
      </c>
      <c r="Y2" t="n">
        <v>1370678</v>
      </c>
      <c r="Z2" t="n">
        <v>1279551</v>
      </c>
      <c r="AA2" t="n">
        <v>1487622</v>
      </c>
      <c r="AB2" t="n">
        <v>1314397</v>
      </c>
      <c r="AC2" t="n">
        <v>1550629</v>
      </c>
      <c r="AD2" t="n">
        <v>1488112</v>
      </c>
      <c r="AE2" t="n">
        <v>1460789</v>
      </c>
      <c r="AF2" t="n">
        <v>1666885</v>
      </c>
    </row>
    <row r="3">
      <c r="A3" t="s">
        <v>10</v>
      </c>
      <c r="B3" t="s">
        <v>163</v>
      </c>
      <c r="C3" t="s">
        <v>129</v>
      </c>
      <c r="D3" t="s">
        <v>164</v>
      </c>
      <c r="E3" t="s">
        <v>130</v>
      </c>
      <c r="F3"/>
      <c r="G3" t="n">
        <v>22319</v>
      </c>
      <c r="H3" t="n">
        <v>26985</v>
      </c>
      <c r="I3" t="n">
        <v>24365</v>
      </c>
      <c r="J3" t="n">
        <v>23093</v>
      </c>
      <c r="K3" t="n">
        <v>25264</v>
      </c>
      <c r="L3" t="n">
        <v>27801</v>
      </c>
      <c r="M3" t="n">
        <v>33040</v>
      </c>
      <c r="N3" t="n">
        <v>38550</v>
      </c>
      <c r="O3" t="n">
        <v>39723</v>
      </c>
      <c r="P3" t="n">
        <v>46738</v>
      </c>
      <c r="Q3" t="n">
        <v>51716</v>
      </c>
      <c r="R3" t="n">
        <v>41693</v>
      </c>
      <c r="S3" t="n">
        <v>58406</v>
      </c>
      <c r="T3" t="n">
        <v>87325</v>
      </c>
      <c r="U3" t="n">
        <v>40369</v>
      </c>
      <c r="V3" t="n">
        <v>54814</v>
      </c>
      <c r="W3" t="n">
        <v>46391</v>
      </c>
      <c r="X3" t="n">
        <v>67771</v>
      </c>
      <c r="Y3" t="n">
        <v>57319</v>
      </c>
      <c r="Z3" t="n">
        <v>46642</v>
      </c>
      <c r="AA3" t="n">
        <v>46534</v>
      </c>
      <c r="AB3" t="n">
        <v>58434</v>
      </c>
      <c r="AC3" t="n">
        <v>104668</v>
      </c>
      <c r="AD3" t="n">
        <v>154303</v>
      </c>
      <c r="AE3" t="n">
        <v>107997</v>
      </c>
      <c r="AF3" t="n">
        <v>114740</v>
      </c>
    </row>
    <row r="4">
      <c r="A4" t="s">
        <v>10</v>
      </c>
      <c r="B4" t="s">
        <v>165</v>
      </c>
      <c r="C4" t="s">
        <v>129</v>
      </c>
      <c r="D4" t="s">
        <v>166</v>
      </c>
      <c r="E4" t="s">
        <v>130</v>
      </c>
      <c r="F4"/>
      <c r="G4" t="n">
        <v>1109732</v>
      </c>
      <c r="H4" t="n">
        <v>1466797</v>
      </c>
      <c r="I4" t="n">
        <v>1911898</v>
      </c>
      <c r="J4" t="n">
        <v>2213993</v>
      </c>
      <c r="K4" t="n">
        <v>2353172</v>
      </c>
      <c r="L4" t="n">
        <v>2662441</v>
      </c>
      <c r="M4" t="n">
        <v>3166324</v>
      </c>
      <c r="N4" t="n">
        <v>3506781</v>
      </c>
      <c r="O4" t="n">
        <v>3769199</v>
      </c>
      <c r="P4" t="n">
        <v>4213117</v>
      </c>
      <c r="Q4" t="n">
        <v>4585875</v>
      </c>
      <c r="R4" t="n">
        <v>5088865</v>
      </c>
      <c r="S4" t="n">
        <v>4737382</v>
      </c>
      <c r="T4" t="n">
        <v>4094582</v>
      </c>
      <c r="U4" t="n">
        <v>4966533</v>
      </c>
      <c r="V4" t="n">
        <v>4997915</v>
      </c>
      <c r="W4" t="n">
        <v>5188274</v>
      </c>
      <c r="X4" t="n">
        <v>5237533</v>
      </c>
      <c r="Y4" t="n">
        <v>6082696</v>
      </c>
      <c r="Z4" t="n">
        <v>6931269</v>
      </c>
      <c r="AA4" t="n">
        <v>7092617</v>
      </c>
      <c r="AB4" t="n">
        <v>7332253</v>
      </c>
      <c r="AC4" t="n">
        <v>7706366</v>
      </c>
      <c r="AD4" t="n">
        <v>8168822</v>
      </c>
      <c r="AE4" t="n">
        <v>7691584</v>
      </c>
      <c r="AF4" t="n">
        <v>9022916</v>
      </c>
    </row>
    <row r="5">
      <c r="A5" t="s">
        <v>10</v>
      </c>
      <c r="B5" t="s">
        <v>167</v>
      </c>
      <c r="C5" t="s">
        <v>129</v>
      </c>
      <c r="D5" t="s">
        <v>168</v>
      </c>
      <c r="E5" t="s">
        <v>130</v>
      </c>
      <c r="F5"/>
      <c r="G5" t="n">
        <v>197211</v>
      </c>
      <c r="H5" t="n">
        <v>169719</v>
      </c>
      <c r="I5" t="n">
        <v>252128</v>
      </c>
      <c r="J5" t="n">
        <v>306452</v>
      </c>
      <c r="K5" t="n">
        <v>321079</v>
      </c>
      <c r="L5" t="n">
        <v>279669</v>
      </c>
      <c r="M5" t="n">
        <v>513801</v>
      </c>
      <c r="N5" t="n">
        <v>536841</v>
      </c>
      <c r="O5" t="n">
        <v>474501</v>
      </c>
      <c r="P5" t="n">
        <v>520473</v>
      </c>
      <c r="Q5" t="n">
        <v>543028</v>
      </c>
      <c r="R5" t="n">
        <v>519708</v>
      </c>
      <c r="S5" t="n">
        <v>397600</v>
      </c>
      <c r="T5" t="n">
        <v>556378</v>
      </c>
      <c r="U5" t="n">
        <v>609179</v>
      </c>
      <c r="V5" t="n">
        <v>471116</v>
      </c>
      <c r="W5" t="n">
        <v>541597</v>
      </c>
      <c r="X5" t="n">
        <v>490428</v>
      </c>
      <c r="Y5" t="n">
        <v>597436</v>
      </c>
      <c r="Z5" t="n">
        <v>673069</v>
      </c>
      <c r="AA5" t="n">
        <v>673470</v>
      </c>
      <c r="AB5" t="n">
        <v>684089</v>
      </c>
      <c r="AC5" t="n">
        <v>786089</v>
      </c>
      <c r="AD5" t="n">
        <v>767057</v>
      </c>
      <c r="AE5" t="n">
        <v>780049</v>
      </c>
      <c r="AF5" t="n">
        <v>938703</v>
      </c>
    </row>
    <row r="6">
      <c r="A6" t="s">
        <v>10</v>
      </c>
      <c r="B6" t="s">
        <v>169</v>
      </c>
      <c r="C6" t="s">
        <v>129</v>
      </c>
      <c r="D6" t="s">
        <v>170</v>
      </c>
      <c r="E6" t="s">
        <v>130</v>
      </c>
      <c r="F6"/>
      <c r="G6" t="n">
        <v>105440</v>
      </c>
      <c r="H6" t="n">
        <v>127620</v>
      </c>
      <c r="I6" t="n">
        <v>147269</v>
      </c>
      <c r="J6" t="n">
        <v>156364</v>
      </c>
      <c r="K6" t="n">
        <v>178724</v>
      </c>
      <c r="L6" t="n">
        <v>206866</v>
      </c>
      <c r="M6" t="n">
        <v>198758</v>
      </c>
      <c r="N6" t="n">
        <v>171143</v>
      </c>
      <c r="O6" t="n">
        <v>156476</v>
      </c>
      <c r="P6" t="n">
        <v>138356</v>
      </c>
      <c r="Q6" t="n">
        <v>145109</v>
      </c>
      <c r="R6" t="n">
        <v>138144</v>
      </c>
      <c r="S6" t="n">
        <v>128906</v>
      </c>
      <c r="T6" t="n">
        <v>109181</v>
      </c>
      <c r="U6" t="n">
        <v>120046</v>
      </c>
      <c r="V6" t="n">
        <v>123976</v>
      </c>
      <c r="W6" t="n">
        <v>122101</v>
      </c>
      <c r="X6" t="n">
        <v>128114</v>
      </c>
      <c r="Y6" t="n">
        <v>136623</v>
      </c>
      <c r="Z6" t="n">
        <v>138296</v>
      </c>
      <c r="AA6" t="n">
        <v>147320</v>
      </c>
      <c r="AB6" t="n">
        <v>160078</v>
      </c>
      <c r="AC6" t="n">
        <v>155249</v>
      </c>
      <c r="AD6" t="n">
        <v>163035</v>
      </c>
      <c r="AE6" t="n">
        <v>139664</v>
      </c>
      <c r="AF6" t="n">
        <v>166011</v>
      </c>
    </row>
    <row r="7">
      <c r="A7" t="s">
        <v>10</v>
      </c>
      <c r="B7" t="s">
        <v>171</v>
      </c>
      <c r="C7" t="s">
        <v>129</v>
      </c>
      <c r="D7" t="s">
        <v>172</v>
      </c>
      <c r="E7" t="s">
        <v>130</v>
      </c>
      <c r="F7"/>
      <c r="G7" t="n">
        <v>77347</v>
      </c>
      <c r="H7" t="n">
        <v>103750</v>
      </c>
      <c r="I7" t="n">
        <v>114272</v>
      </c>
      <c r="J7" t="n">
        <v>128200</v>
      </c>
      <c r="K7" t="n">
        <v>144160</v>
      </c>
      <c r="L7" t="n">
        <v>173176</v>
      </c>
      <c r="M7" t="n">
        <v>199508</v>
      </c>
      <c r="N7" t="n">
        <v>205364</v>
      </c>
      <c r="O7" t="n">
        <v>211293</v>
      </c>
      <c r="P7" t="n">
        <v>211840</v>
      </c>
      <c r="Q7" t="n">
        <v>211885</v>
      </c>
      <c r="R7" t="n">
        <v>207706</v>
      </c>
      <c r="S7" t="n">
        <v>227535</v>
      </c>
      <c r="T7" t="n">
        <v>197530</v>
      </c>
      <c r="U7" t="n">
        <v>224057</v>
      </c>
      <c r="V7" t="n">
        <v>197362</v>
      </c>
      <c r="W7" t="n">
        <v>208968</v>
      </c>
      <c r="X7" t="n">
        <v>223519</v>
      </c>
      <c r="Y7" t="n">
        <v>242177</v>
      </c>
      <c r="Z7" t="n">
        <v>258500</v>
      </c>
      <c r="AA7" t="n">
        <v>281584</v>
      </c>
      <c r="AB7" t="n">
        <v>306817</v>
      </c>
      <c r="AC7" t="n">
        <v>323191</v>
      </c>
      <c r="AD7" t="n">
        <v>357683</v>
      </c>
      <c r="AE7" t="n">
        <v>358262</v>
      </c>
      <c r="AF7" t="n">
        <v>409055</v>
      </c>
    </row>
    <row r="8">
      <c r="A8" t="s">
        <v>10</v>
      </c>
      <c r="B8" t="s">
        <v>173</v>
      </c>
      <c r="C8" t="s">
        <v>129</v>
      </c>
      <c r="D8" t="s">
        <v>174</v>
      </c>
      <c r="E8" t="s">
        <v>130</v>
      </c>
      <c r="F8"/>
      <c r="G8" t="n">
        <v>86644</v>
      </c>
      <c r="H8" t="n">
        <v>116799</v>
      </c>
      <c r="I8" t="n">
        <v>173193</v>
      </c>
      <c r="J8" t="n">
        <v>163492</v>
      </c>
      <c r="K8" t="n">
        <v>66645</v>
      </c>
      <c r="L8" t="n">
        <v>119196</v>
      </c>
      <c r="M8" t="n">
        <v>158778</v>
      </c>
      <c r="N8" t="n">
        <v>202507</v>
      </c>
      <c r="O8" t="n">
        <v>237855</v>
      </c>
      <c r="P8" t="n">
        <v>283772</v>
      </c>
      <c r="Q8" t="n">
        <v>355372</v>
      </c>
      <c r="R8" t="n">
        <v>372203</v>
      </c>
      <c r="S8" t="n">
        <v>338262</v>
      </c>
      <c r="T8" t="n">
        <v>353819</v>
      </c>
      <c r="U8" t="n">
        <v>221579</v>
      </c>
      <c r="V8" t="n">
        <v>139781</v>
      </c>
      <c r="W8" t="n">
        <v>275990</v>
      </c>
      <c r="X8" t="n">
        <v>256294</v>
      </c>
      <c r="Y8" t="n">
        <v>286420</v>
      </c>
      <c r="Z8" t="n">
        <v>290516</v>
      </c>
      <c r="AA8" t="n">
        <v>258322</v>
      </c>
      <c r="AB8" t="n">
        <v>239124</v>
      </c>
      <c r="AC8" t="n">
        <v>276708</v>
      </c>
      <c r="AD8" t="n">
        <v>253081</v>
      </c>
      <c r="AE8" t="n">
        <v>207638</v>
      </c>
      <c r="AF8" t="n">
        <v>241967</v>
      </c>
    </row>
    <row r="9">
      <c r="A9" t="s">
        <v>10</v>
      </c>
      <c r="B9" t="s">
        <v>175</v>
      </c>
      <c r="C9" t="s">
        <v>129</v>
      </c>
      <c r="D9" t="s">
        <v>176</v>
      </c>
      <c r="E9" t="s">
        <v>130</v>
      </c>
      <c r="F9"/>
      <c r="G9" t="n">
        <v>58241</v>
      </c>
      <c r="H9" t="n">
        <v>66475</v>
      </c>
      <c r="I9" t="n">
        <v>83295</v>
      </c>
      <c r="J9" t="n">
        <v>80615</v>
      </c>
      <c r="K9" t="n">
        <v>67761</v>
      </c>
      <c r="L9" t="n">
        <v>116397</v>
      </c>
      <c r="M9" t="n">
        <v>131026</v>
      </c>
      <c r="N9" t="n">
        <v>128323</v>
      </c>
      <c r="O9" t="n">
        <v>140301</v>
      </c>
      <c r="P9" t="n">
        <v>131564</v>
      </c>
      <c r="Q9" t="n">
        <v>135834</v>
      </c>
      <c r="R9" t="n">
        <v>200106</v>
      </c>
      <c r="S9" t="n">
        <v>205073</v>
      </c>
      <c r="T9" t="n">
        <v>93202</v>
      </c>
      <c r="U9" t="n">
        <v>99825</v>
      </c>
      <c r="V9" t="n">
        <v>123447</v>
      </c>
      <c r="W9" t="n">
        <v>153791</v>
      </c>
      <c r="X9" t="n">
        <v>159727</v>
      </c>
      <c r="Y9" t="n">
        <v>243664</v>
      </c>
      <c r="Z9" t="n">
        <v>340156</v>
      </c>
      <c r="AA9" t="n">
        <v>399441</v>
      </c>
      <c r="AB9" t="n">
        <v>417946</v>
      </c>
      <c r="AC9" t="n">
        <v>482795</v>
      </c>
      <c r="AD9" t="n">
        <v>423700</v>
      </c>
      <c r="AE9" t="n">
        <v>416276</v>
      </c>
      <c r="AF9" t="n">
        <v>476574</v>
      </c>
    </row>
    <row r="10">
      <c r="A10" t="s">
        <v>10</v>
      </c>
      <c r="B10" t="s">
        <v>177</v>
      </c>
      <c r="C10" t="s">
        <v>129</v>
      </c>
      <c r="D10" t="s">
        <v>178</v>
      </c>
      <c r="E10" t="s">
        <v>130</v>
      </c>
      <c r="F10"/>
      <c r="G10" t="n">
        <v>115591</v>
      </c>
      <c r="H10" t="n">
        <v>143929</v>
      </c>
      <c r="I10" t="n">
        <v>180476</v>
      </c>
      <c r="J10" t="n">
        <v>178947</v>
      </c>
      <c r="K10" t="n">
        <v>178008</v>
      </c>
      <c r="L10" t="n">
        <v>281773</v>
      </c>
      <c r="M10" t="n">
        <v>324378</v>
      </c>
      <c r="N10" t="n">
        <v>361126</v>
      </c>
      <c r="O10" t="n">
        <v>376069</v>
      </c>
      <c r="P10" t="n">
        <v>385747</v>
      </c>
      <c r="Q10" t="n">
        <v>421986</v>
      </c>
      <c r="R10" t="n">
        <v>481697</v>
      </c>
      <c r="S10" t="n">
        <v>502772</v>
      </c>
      <c r="T10" t="n">
        <v>369060</v>
      </c>
      <c r="U10" t="n">
        <v>476260</v>
      </c>
      <c r="V10" t="n">
        <v>514695</v>
      </c>
      <c r="W10" t="n">
        <v>548082</v>
      </c>
      <c r="X10" t="n">
        <v>489439</v>
      </c>
      <c r="Y10" t="n">
        <v>640735</v>
      </c>
      <c r="Z10" t="n">
        <v>761990</v>
      </c>
      <c r="AA10" t="n">
        <v>843079</v>
      </c>
      <c r="AB10" t="n">
        <v>897169</v>
      </c>
      <c r="AC10" t="n">
        <v>979593</v>
      </c>
      <c r="AD10" t="n">
        <v>940176</v>
      </c>
      <c r="AE10" t="n">
        <v>961943</v>
      </c>
      <c r="AF10" t="n">
        <v>1020962</v>
      </c>
    </row>
    <row r="11">
      <c r="A11" t="s">
        <v>10</v>
      </c>
      <c r="B11" t="s">
        <v>179</v>
      </c>
      <c r="C11" t="s">
        <v>129</v>
      </c>
      <c r="D11" t="s">
        <v>180</v>
      </c>
      <c r="E11" t="s">
        <v>130</v>
      </c>
      <c r="F11"/>
      <c r="G11" t="n">
        <v>57350</v>
      </c>
      <c r="H11" t="n">
        <v>77454</v>
      </c>
      <c r="I11" t="n">
        <v>97181</v>
      </c>
      <c r="J11" t="n">
        <v>98332</v>
      </c>
      <c r="K11" t="n">
        <v>110247</v>
      </c>
      <c r="L11" t="n">
        <v>165376</v>
      </c>
      <c r="M11" t="n">
        <v>193352</v>
      </c>
      <c r="N11" t="n">
        <v>232803</v>
      </c>
      <c r="O11" t="n">
        <v>235768</v>
      </c>
      <c r="P11" t="n">
        <v>254183</v>
      </c>
      <c r="Q11" t="n">
        <v>286152</v>
      </c>
      <c r="R11" t="n">
        <v>281591</v>
      </c>
      <c r="S11" t="n">
        <v>297699</v>
      </c>
      <c r="T11" t="n">
        <v>275858</v>
      </c>
      <c r="U11" t="n">
        <v>376435</v>
      </c>
      <c r="V11" t="n">
        <v>391248</v>
      </c>
      <c r="W11" t="n">
        <v>394291</v>
      </c>
      <c r="X11" t="n">
        <v>329712</v>
      </c>
      <c r="Y11" t="n">
        <v>397071</v>
      </c>
      <c r="Z11" t="n">
        <v>421834</v>
      </c>
      <c r="AA11" t="n">
        <v>443638</v>
      </c>
      <c r="AB11" t="n">
        <v>479223</v>
      </c>
      <c r="AC11" t="n">
        <v>496798</v>
      </c>
      <c r="AD11" t="n">
        <v>516476</v>
      </c>
      <c r="AE11" t="n">
        <v>545667</v>
      </c>
      <c r="AF11" t="n">
        <v>544388</v>
      </c>
    </row>
    <row r="12">
      <c r="A12" t="s">
        <v>10</v>
      </c>
      <c r="B12" t="s">
        <v>181</v>
      </c>
      <c r="C12" t="s">
        <v>129</v>
      </c>
      <c r="D12" t="s">
        <v>182</v>
      </c>
      <c r="E12" t="s">
        <v>130</v>
      </c>
      <c r="F12"/>
      <c r="G12" t="n">
        <v>92195</v>
      </c>
      <c r="H12" t="n">
        <v>128240</v>
      </c>
      <c r="I12" t="n">
        <v>162728</v>
      </c>
      <c r="J12" t="n">
        <v>181127</v>
      </c>
      <c r="K12" t="n">
        <v>210744</v>
      </c>
      <c r="L12" t="n">
        <v>252321</v>
      </c>
      <c r="M12" t="n">
        <v>289662</v>
      </c>
      <c r="N12" t="n">
        <v>325382</v>
      </c>
      <c r="O12" t="n">
        <v>335395</v>
      </c>
      <c r="P12" t="n">
        <v>348934</v>
      </c>
      <c r="Q12" t="n">
        <v>394562</v>
      </c>
      <c r="R12" t="n">
        <v>433700</v>
      </c>
      <c r="S12" t="n">
        <v>472060</v>
      </c>
      <c r="T12" t="n">
        <v>345134</v>
      </c>
      <c r="U12" t="n">
        <v>456747</v>
      </c>
      <c r="V12" t="n">
        <v>448639</v>
      </c>
      <c r="W12" t="n">
        <v>467431</v>
      </c>
      <c r="X12" t="n">
        <v>482893</v>
      </c>
      <c r="Y12" t="n">
        <v>551101</v>
      </c>
      <c r="Z12" t="n">
        <v>640069</v>
      </c>
      <c r="AA12" t="n">
        <v>702818</v>
      </c>
      <c r="AB12" t="n">
        <v>764311</v>
      </c>
      <c r="AC12" t="n">
        <v>820202</v>
      </c>
      <c r="AD12" t="n">
        <v>875133</v>
      </c>
      <c r="AE12" t="n">
        <v>834084</v>
      </c>
      <c r="AF12" t="n">
        <v>1028461</v>
      </c>
    </row>
    <row r="13">
      <c r="A13" t="s">
        <v>10</v>
      </c>
      <c r="B13" t="s">
        <v>183</v>
      </c>
      <c r="C13" t="s">
        <v>129</v>
      </c>
      <c r="D13" t="s">
        <v>184</v>
      </c>
      <c r="E13" t="s">
        <v>130</v>
      </c>
      <c r="F13"/>
      <c r="G13" t="n">
        <v>122103</v>
      </c>
      <c r="H13" t="n">
        <v>161301</v>
      </c>
      <c r="I13" t="n">
        <v>177025</v>
      </c>
      <c r="J13" t="n">
        <v>208855</v>
      </c>
      <c r="K13" t="n">
        <v>242868</v>
      </c>
      <c r="L13" t="n">
        <v>260904</v>
      </c>
      <c r="M13" t="n">
        <v>294988</v>
      </c>
      <c r="N13" t="n">
        <v>321148</v>
      </c>
      <c r="O13" t="n">
        <v>355030</v>
      </c>
      <c r="P13" t="n">
        <v>391276</v>
      </c>
      <c r="Q13" t="n">
        <v>451652</v>
      </c>
      <c r="R13" t="n">
        <v>499405</v>
      </c>
      <c r="S13" t="n">
        <v>513879</v>
      </c>
      <c r="T13" t="n">
        <v>282870</v>
      </c>
      <c r="U13" t="n">
        <v>436031</v>
      </c>
      <c r="V13" t="n">
        <v>426808</v>
      </c>
      <c r="W13" t="n">
        <v>490546</v>
      </c>
      <c r="X13" t="n">
        <v>505659</v>
      </c>
      <c r="Y13" t="n">
        <v>522151</v>
      </c>
      <c r="Z13" t="n">
        <v>607404</v>
      </c>
      <c r="AA13" t="n">
        <v>665486</v>
      </c>
      <c r="AB13" t="n">
        <v>709822</v>
      </c>
      <c r="AC13" t="n">
        <v>791461</v>
      </c>
      <c r="AD13" t="n">
        <v>834466</v>
      </c>
      <c r="AE13" t="n">
        <v>764288</v>
      </c>
      <c r="AF13" t="n">
        <v>968095</v>
      </c>
    </row>
    <row r="14">
      <c r="A14" t="s">
        <v>10</v>
      </c>
      <c r="B14" t="s">
        <v>185</v>
      </c>
      <c r="C14" t="s">
        <v>129</v>
      </c>
      <c r="D14" t="s">
        <v>186</v>
      </c>
      <c r="E14" t="s">
        <v>130</v>
      </c>
      <c r="F14"/>
      <c r="G14" t="n">
        <v>59849</v>
      </c>
      <c r="H14" t="n">
        <v>140956</v>
      </c>
      <c r="I14" t="n">
        <v>188772</v>
      </c>
      <c r="J14" t="n">
        <v>315125</v>
      </c>
      <c r="K14" t="n">
        <v>231419</v>
      </c>
      <c r="L14" t="n">
        <v>261119</v>
      </c>
      <c r="M14" t="n">
        <v>239014</v>
      </c>
      <c r="N14" t="n">
        <v>302793</v>
      </c>
      <c r="O14" t="n">
        <v>415412</v>
      </c>
      <c r="P14" t="n">
        <v>561971</v>
      </c>
      <c r="Q14" t="n">
        <v>514966</v>
      </c>
      <c r="R14" t="n">
        <v>549305</v>
      </c>
      <c r="S14" t="n">
        <v>387262</v>
      </c>
      <c r="T14" t="n">
        <v>338580</v>
      </c>
      <c r="U14" t="n">
        <v>415100</v>
      </c>
      <c r="V14" t="n">
        <v>637452</v>
      </c>
      <c r="W14" t="n">
        <v>444469</v>
      </c>
      <c r="X14" t="n">
        <v>501120</v>
      </c>
      <c r="Y14" t="n">
        <v>547920</v>
      </c>
      <c r="Z14" t="n">
        <v>563801</v>
      </c>
      <c r="AA14" t="n">
        <v>609972</v>
      </c>
      <c r="AB14" t="n">
        <v>631174</v>
      </c>
      <c r="AC14" t="n">
        <v>593886</v>
      </c>
      <c r="AD14" t="n">
        <v>725174</v>
      </c>
      <c r="AE14" t="n">
        <v>677953</v>
      </c>
      <c r="AF14" t="n">
        <v>761388</v>
      </c>
    </row>
    <row r="15">
      <c r="A15" t="s">
        <v>10</v>
      </c>
      <c r="B15" t="s">
        <v>187</v>
      </c>
      <c r="C15" t="s">
        <v>129</v>
      </c>
      <c r="D15" t="s">
        <v>188</v>
      </c>
      <c r="E15" t="s">
        <v>130</v>
      </c>
      <c r="F15"/>
      <c r="G15" t="n">
        <v>122324</v>
      </c>
      <c r="H15" t="n">
        <v>220180</v>
      </c>
      <c r="I15" t="n">
        <v>301452</v>
      </c>
      <c r="J15" t="n">
        <v>447759</v>
      </c>
      <c r="K15" t="n">
        <v>437316</v>
      </c>
      <c r="L15" t="n">
        <v>464121</v>
      </c>
      <c r="M15" t="n">
        <v>476610</v>
      </c>
      <c r="N15" t="n">
        <v>594305</v>
      </c>
      <c r="O15" t="n">
        <v>786222</v>
      </c>
      <c r="P15" t="n">
        <v>997214</v>
      </c>
      <c r="Q15" t="n">
        <v>924059</v>
      </c>
      <c r="R15" t="n">
        <v>1004219</v>
      </c>
      <c r="S15" t="n">
        <v>819564</v>
      </c>
      <c r="T15" t="n">
        <v>485972</v>
      </c>
      <c r="U15" t="n">
        <v>626696</v>
      </c>
      <c r="V15" t="n">
        <v>834407</v>
      </c>
      <c r="W15" t="n">
        <v>647445</v>
      </c>
      <c r="X15" t="n">
        <v>720525</v>
      </c>
      <c r="Y15" t="n">
        <v>814005</v>
      </c>
      <c r="Z15" t="n">
        <v>850595</v>
      </c>
      <c r="AA15" t="n">
        <v>922300</v>
      </c>
      <c r="AB15" t="n">
        <v>970861</v>
      </c>
      <c r="AC15" t="n">
        <v>968215</v>
      </c>
      <c r="AD15" t="n">
        <v>1158531</v>
      </c>
      <c r="AE15" t="n">
        <v>1151915</v>
      </c>
      <c r="AF15" t="n">
        <v>1426281</v>
      </c>
    </row>
    <row r="16">
      <c r="A16" t="s">
        <v>10</v>
      </c>
      <c r="B16" t="s">
        <v>189</v>
      </c>
      <c r="C16" t="s">
        <v>129</v>
      </c>
      <c r="D16" t="s">
        <v>190</v>
      </c>
      <c r="E16" t="s">
        <v>130</v>
      </c>
      <c r="F16"/>
      <c r="G16" t="n">
        <v>62475</v>
      </c>
      <c r="H16" t="n">
        <v>79224</v>
      </c>
      <c r="I16" t="n">
        <v>112680</v>
      </c>
      <c r="J16" t="n">
        <v>132634</v>
      </c>
      <c r="K16" t="n">
        <v>205897</v>
      </c>
      <c r="L16" t="n">
        <v>203002</v>
      </c>
      <c r="M16" t="n">
        <v>237596</v>
      </c>
      <c r="N16" t="n">
        <v>291512</v>
      </c>
      <c r="O16" t="n">
        <v>370810</v>
      </c>
      <c r="P16" t="n">
        <v>435243</v>
      </c>
      <c r="Q16" t="n">
        <v>409093</v>
      </c>
      <c r="R16" t="n">
        <v>454914</v>
      </c>
      <c r="S16" t="n">
        <v>432302</v>
      </c>
      <c r="T16" t="n">
        <v>147392</v>
      </c>
      <c r="U16" t="n">
        <v>211596</v>
      </c>
      <c r="V16" t="n">
        <v>196955</v>
      </c>
      <c r="W16" t="n">
        <v>202976</v>
      </c>
      <c r="X16" t="n">
        <v>219405</v>
      </c>
      <c r="Y16" t="n">
        <v>266085</v>
      </c>
      <c r="Z16" t="n">
        <v>286794</v>
      </c>
      <c r="AA16" t="n">
        <v>312328</v>
      </c>
      <c r="AB16" t="n">
        <v>339687</v>
      </c>
      <c r="AC16" t="n">
        <v>374329</v>
      </c>
      <c r="AD16" t="n">
        <v>433357</v>
      </c>
      <c r="AE16" t="n">
        <v>473962</v>
      </c>
      <c r="AF16" t="n">
        <v>664893</v>
      </c>
    </row>
    <row r="17">
      <c r="A17" t="s">
        <v>10</v>
      </c>
      <c r="B17" t="s">
        <v>191</v>
      </c>
      <c r="C17" t="s">
        <v>129</v>
      </c>
      <c r="D17" t="s">
        <v>192</v>
      </c>
      <c r="E17" t="s">
        <v>130</v>
      </c>
      <c r="F17"/>
      <c r="G17" t="n">
        <v>59445</v>
      </c>
      <c r="H17" t="n">
        <v>70167</v>
      </c>
      <c r="I17" t="n">
        <v>98684</v>
      </c>
      <c r="J17" t="n">
        <v>106665</v>
      </c>
      <c r="K17" t="n">
        <v>121414</v>
      </c>
      <c r="L17" t="n">
        <v>143754</v>
      </c>
      <c r="M17" t="n">
        <v>165476</v>
      </c>
      <c r="N17" t="n">
        <v>167620</v>
      </c>
      <c r="O17" t="n">
        <v>186266</v>
      </c>
      <c r="P17" t="n">
        <v>203534</v>
      </c>
      <c r="Q17" t="n">
        <v>240480</v>
      </c>
      <c r="R17" t="n">
        <v>272039</v>
      </c>
      <c r="S17" t="n">
        <v>291658</v>
      </c>
      <c r="T17" t="n">
        <v>516684</v>
      </c>
      <c r="U17" t="n">
        <v>666362</v>
      </c>
      <c r="V17" t="n">
        <v>701470</v>
      </c>
      <c r="W17" t="n">
        <v>702707</v>
      </c>
      <c r="X17" t="n">
        <v>711960</v>
      </c>
      <c r="Y17" t="n">
        <v>782751</v>
      </c>
      <c r="Z17" t="n">
        <v>905460</v>
      </c>
      <c r="AA17" t="n">
        <v>644992</v>
      </c>
      <c r="AB17" t="n">
        <v>616811</v>
      </c>
      <c r="AC17" t="n">
        <v>578695</v>
      </c>
      <c r="AD17" t="n">
        <v>553640</v>
      </c>
      <c r="AE17" t="n">
        <v>507123</v>
      </c>
      <c r="AF17" t="n">
        <v>591475</v>
      </c>
    </row>
    <row r="18">
      <c r="A18" t="s">
        <v>10</v>
      </c>
      <c r="B18" t="s">
        <v>193</v>
      </c>
      <c r="C18" t="s">
        <v>129</v>
      </c>
      <c r="D18" t="s">
        <v>194</v>
      </c>
      <c r="E18" t="s">
        <v>130</v>
      </c>
      <c r="F18"/>
      <c r="G18" t="n">
        <v>84849</v>
      </c>
      <c r="H18" t="n">
        <v>160488</v>
      </c>
      <c r="I18" t="n">
        <v>223857</v>
      </c>
      <c r="J18" t="n">
        <v>248000</v>
      </c>
      <c r="K18" t="n">
        <v>343064</v>
      </c>
      <c r="L18" t="n">
        <v>356625</v>
      </c>
      <c r="M18" t="n">
        <v>397095</v>
      </c>
      <c r="N18" t="n">
        <v>473163</v>
      </c>
      <c r="O18" t="n">
        <v>488032</v>
      </c>
      <c r="P18" t="n">
        <v>557946</v>
      </c>
      <c r="Q18" t="n">
        <v>706360</v>
      </c>
      <c r="R18" t="n">
        <v>956344</v>
      </c>
      <c r="S18" t="n">
        <v>824003</v>
      </c>
      <c r="T18" t="n">
        <v>646616</v>
      </c>
      <c r="U18" t="n">
        <v>865183</v>
      </c>
      <c r="V18" t="n">
        <v>877729</v>
      </c>
      <c r="W18" t="n">
        <v>887988</v>
      </c>
      <c r="X18" t="n">
        <v>930935</v>
      </c>
      <c r="Y18" t="n">
        <v>1192822</v>
      </c>
      <c r="Z18" t="n">
        <v>1461022</v>
      </c>
      <c r="AA18" t="n">
        <v>1573935</v>
      </c>
      <c r="AB18" t="n">
        <v>1574779</v>
      </c>
      <c r="AC18" t="n">
        <v>1544441</v>
      </c>
      <c r="AD18" t="n">
        <v>1717132</v>
      </c>
      <c r="AE18" t="n">
        <v>1430973</v>
      </c>
      <c r="AF18" t="n">
        <v>1569272</v>
      </c>
    </row>
    <row r="19">
      <c r="A19" t="s">
        <v>10</v>
      </c>
      <c r="B19" t="s">
        <v>195</v>
      </c>
      <c r="C19" t="s">
        <v>129</v>
      </c>
      <c r="D19" t="s">
        <v>196</v>
      </c>
      <c r="E19" t="s">
        <v>130</v>
      </c>
      <c r="F19"/>
      <c r="G19" t="n">
        <v>46583</v>
      </c>
      <c r="H19" t="n">
        <v>64604</v>
      </c>
      <c r="I19" t="n">
        <v>80814</v>
      </c>
      <c r="J19" t="n">
        <v>88132</v>
      </c>
      <c r="K19" t="n">
        <v>109150</v>
      </c>
      <c r="L19" t="n">
        <v>124036</v>
      </c>
      <c r="M19" t="n">
        <v>147270</v>
      </c>
      <c r="N19" t="n">
        <v>148182</v>
      </c>
      <c r="O19" t="n">
        <v>162060</v>
      </c>
      <c r="P19" t="n">
        <v>174025</v>
      </c>
      <c r="Q19" t="n">
        <v>191382</v>
      </c>
      <c r="R19" t="n">
        <v>203700</v>
      </c>
      <c r="S19" t="n">
        <v>221143</v>
      </c>
      <c r="T19" t="n">
        <v>231338</v>
      </c>
      <c r="U19" t="n">
        <v>264393</v>
      </c>
      <c r="V19" t="n">
        <v>261932</v>
      </c>
      <c r="W19" t="n">
        <v>295419</v>
      </c>
      <c r="X19" t="n">
        <v>297767</v>
      </c>
      <c r="Y19" t="n">
        <v>316475</v>
      </c>
      <c r="Z19" t="n">
        <v>344348</v>
      </c>
      <c r="AA19" t="n">
        <v>379311</v>
      </c>
      <c r="AB19" t="n">
        <v>408392</v>
      </c>
      <c r="AC19" t="n">
        <v>482522</v>
      </c>
      <c r="AD19" t="n">
        <v>548888</v>
      </c>
      <c r="AE19" t="n">
        <v>555645</v>
      </c>
      <c r="AF19" t="n">
        <v>662634</v>
      </c>
    </row>
    <row r="20">
      <c r="A20" t="s">
        <v>10</v>
      </c>
      <c r="B20" t="s">
        <v>197</v>
      </c>
      <c r="C20" t="s">
        <v>129</v>
      </c>
      <c r="D20" t="s">
        <v>198</v>
      </c>
      <c r="E20" t="s">
        <v>130</v>
      </c>
      <c r="F20"/>
      <c r="G20" t="n">
        <v>133167</v>
      </c>
      <c r="H20" t="n">
        <v>168047</v>
      </c>
      <c r="I20" t="n">
        <v>238838</v>
      </c>
      <c r="J20" t="n">
        <v>289618</v>
      </c>
      <c r="K20" t="n">
        <v>325719</v>
      </c>
      <c r="L20" t="n">
        <v>318811</v>
      </c>
      <c r="M20" t="n">
        <v>334351</v>
      </c>
      <c r="N20" t="n">
        <v>319771</v>
      </c>
      <c r="O20" t="n">
        <v>414771</v>
      </c>
      <c r="P20" t="n">
        <v>399993</v>
      </c>
      <c r="Q20" t="n">
        <v>478556</v>
      </c>
      <c r="R20" t="n">
        <v>457615</v>
      </c>
      <c r="S20" t="n">
        <v>500060</v>
      </c>
      <c r="T20" t="n">
        <v>611058</v>
      </c>
      <c r="U20" t="n">
        <v>651673</v>
      </c>
      <c r="V20" t="n">
        <v>608981</v>
      </c>
      <c r="W20" t="n">
        <v>561633</v>
      </c>
      <c r="X20" t="n">
        <v>591796</v>
      </c>
      <c r="Y20" t="n">
        <v>579955</v>
      </c>
      <c r="Z20" t="n">
        <v>591734</v>
      </c>
      <c r="AA20" t="n">
        <v>694180</v>
      </c>
      <c r="AB20" t="n">
        <v>620811</v>
      </c>
      <c r="AC20" t="n">
        <v>560720</v>
      </c>
      <c r="AD20" t="n">
        <v>647531</v>
      </c>
      <c r="AE20" t="n">
        <v>669923</v>
      </c>
      <c r="AF20" t="n">
        <v>598062</v>
      </c>
    </row>
    <row r="21">
      <c r="A21" t="s">
        <v>10</v>
      </c>
      <c r="B21" t="s">
        <v>199</v>
      </c>
      <c r="C21" t="s">
        <v>129</v>
      </c>
      <c r="D21" t="s">
        <v>200</v>
      </c>
      <c r="E21" t="s">
        <v>130</v>
      </c>
      <c r="F21"/>
      <c r="G21" t="n">
        <v>176819</v>
      </c>
      <c r="H21" t="n">
        <v>222584</v>
      </c>
      <c r="I21" t="n">
        <v>313616</v>
      </c>
      <c r="J21" t="n">
        <v>381734</v>
      </c>
      <c r="K21" t="n">
        <v>428863</v>
      </c>
      <c r="L21" t="n">
        <v>432977</v>
      </c>
      <c r="M21" t="n">
        <v>468006</v>
      </c>
      <c r="N21" t="n">
        <v>467351</v>
      </c>
      <c r="O21" t="n">
        <v>587797</v>
      </c>
      <c r="P21" t="n">
        <v>598398</v>
      </c>
      <c r="Q21" t="n">
        <v>692993</v>
      </c>
      <c r="R21" t="n">
        <v>686184</v>
      </c>
      <c r="S21" t="n">
        <v>731222</v>
      </c>
      <c r="T21" t="n">
        <v>873470</v>
      </c>
      <c r="U21" t="n">
        <v>925552</v>
      </c>
      <c r="V21" t="n">
        <v>883755</v>
      </c>
      <c r="W21" t="n">
        <v>828342</v>
      </c>
      <c r="X21" t="n">
        <v>864960</v>
      </c>
      <c r="Y21" t="n">
        <v>842834</v>
      </c>
      <c r="Z21" t="n">
        <v>870258</v>
      </c>
      <c r="AA21" t="n">
        <v>998326</v>
      </c>
      <c r="AB21" t="n">
        <v>931750</v>
      </c>
      <c r="AC21" t="n">
        <v>870510</v>
      </c>
      <c r="AD21" t="n">
        <v>978035</v>
      </c>
      <c r="AE21" t="n">
        <v>988771</v>
      </c>
      <c r="AF21" t="n">
        <v>863512</v>
      </c>
    </row>
    <row r="22">
      <c r="A22" t="s">
        <v>10</v>
      </c>
      <c r="B22" t="s">
        <v>201</v>
      </c>
      <c r="C22" t="s">
        <v>129</v>
      </c>
      <c r="D22" t="s">
        <v>202</v>
      </c>
      <c r="E22" t="s">
        <v>130</v>
      </c>
      <c r="F22"/>
      <c r="G22" t="n">
        <v>43652</v>
      </c>
      <c r="H22" t="n">
        <v>54537</v>
      </c>
      <c r="I22" t="n">
        <v>74778</v>
      </c>
      <c r="J22" t="n">
        <v>92116</v>
      </c>
      <c r="K22" t="n">
        <v>103144</v>
      </c>
      <c r="L22" t="n">
        <v>114166</v>
      </c>
      <c r="M22" t="n">
        <v>133655</v>
      </c>
      <c r="N22" t="n">
        <v>147580</v>
      </c>
      <c r="O22" t="n">
        <v>173026</v>
      </c>
      <c r="P22" t="n">
        <v>198405</v>
      </c>
      <c r="Q22" t="n">
        <v>214437</v>
      </c>
      <c r="R22" t="n">
        <v>228569</v>
      </c>
      <c r="S22" t="n">
        <v>231162</v>
      </c>
      <c r="T22" t="n">
        <v>262412</v>
      </c>
      <c r="U22" t="n">
        <v>273879</v>
      </c>
      <c r="V22" t="n">
        <v>274774</v>
      </c>
      <c r="W22" t="n">
        <v>266709</v>
      </c>
      <c r="X22" t="n">
        <v>273164</v>
      </c>
      <c r="Y22" t="n">
        <v>262879</v>
      </c>
      <c r="Z22" t="n">
        <v>278524</v>
      </c>
      <c r="AA22" t="n">
        <v>304146</v>
      </c>
      <c r="AB22" t="n">
        <v>310939</v>
      </c>
      <c r="AC22" t="n">
        <v>309790</v>
      </c>
      <c r="AD22" t="n">
        <v>330504</v>
      </c>
      <c r="AE22" t="n">
        <v>318848</v>
      </c>
      <c r="AF22" t="n">
        <v>265450</v>
      </c>
    </row>
    <row r="23">
      <c r="A23" t="s">
        <v>10</v>
      </c>
      <c r="B23" t="s">
        <v>203</v>
      </c>
      <c r="C23" t="s">
        <v>129</v>
      </c>
      <c r="D23" t="s">
        <v>204</v>
      </c>
      <c r="E23" t="s">
        <v>130</v>
      </c>
      <c r="F23"/>
      <c r="G23" t="n">
        <v>229112</v>
      </c>
      <c r="H23" t="n">
        <v>297632</v>
      </c>
      <c r="I23" t="n">
        <v>407816</v>
      </c>
      <c r="J23" t="n">
        <v>461980</v>
      </c>
      <c r="K23" t="n">
        <v>547912</v>
      </c>
      <c r="L23" t="n">
        <v>619243</v>
      </c>
      <c r="M23" t="n">
        <v>816308</v>
      </c>
      <c r="N23" t="n">
        <v>872265</v>
      </c>
      <c r="O23" t="n">
        <v>905966</v>
      </c>
      <c r="P23" t="n">
        <v>1070773</v>
      </c>
      <c r="Q23" t="n">
        <v>1074663</v>
      </c>
      <c r="R23" t="n">
        <v>1027341</v>
      </c>
      <c r="S23" t="n">
        <v>979040</v>
      </c>
      <c r="T23" t="n">
        <v>1096659</v>
      </c>
      <c r="U23" t="n">
        <v>975812</v>
      </c>
      <c r="V23" t="n">
        <v>987165</v>
      </c>
      <c r="W23" t="n">
        <v>930614</v>
      </c>
      <c r="X23" t="n">
        <v>999896</v>
      </c>
      <c r="Y23" t="n">
        <v>1125220</v>
      </c>
      <c r="Z23" t="n">
        <v>1235403</v>
      </c>
      <c r="AA23" t="n">
        <v>1056637</v>
      </c>
      <c r="AB23" t="n">
        <v>1333404</v>
      </c>
      <c r="AC23" t="n">
        <v>1630757</v>
      </c>
      <c r="AD23" t="n">
        <v>2130360</v>
      </c>
      <c r="AE23" t="n">
        <v>2129754</v>
      </c>
      <c r="AF23" t="n">
        <v>2587210</v>
      </c>
    </row>
    <row r="24">
      <c r="A24" t="s">
        <v>10</v>
      </c>
      <c r="B24" t="s">
        <v>205</v>
      </c>
      <c r="C24" t="s">
        <v>129</v>
      </c>
      <c r="D24" t="s">
        <v>206</v>
      </c>
      <c r="E24" t="s">
        <v>130</v>
      </c>
      <c r="F24"/>
      <c r="G24" t="n">
        <v>419680</v>
      </c>
      <c r="H24" t="n">
        <v>571230</v>
      </c>
      <c r="I24" t="n">
        <v>736157</v>
      </c>
      <c r="J24" t="n">
        <v>891598</v>
      </c>
      <c r="K24" t="n">
        <v>1025867</v>
      </c>
      <c r="L24" t="n">
        <v>1114163</v>
      </c>
      <c r="M24" t="n">
        <v>1520867</v>
      </c>
      <c r="N24" t="n">
        <v>1694890</v>
      </c>
      <c r="O24" t="n">
        <v>1684868</v>
      </c>
      <c r="P24" t="n">
        <v>1975309</v>
      </c>
      <c r="Q24" t="n">
        <v>2143884</v>
      </c>
      <c r="R24" t="n">
        <v>2149476</v>
      </c>
      <c r="S24" t="n">
        <v>2363315</v>
      </c>
      <c r="T24" t="n">
        <v>2118685</v>
      </c>
      <c r="U24" t="n">
        <v>2208207</v>
      </c>
      <c r="V24" t="n">
        <v>2327608</v>
      </c>
      <c r="W24" t="n">
        <v>2413654</v>
      </c>
      <c r="X24" t="n">
        <v>2617133</v>
      </c>
      <c r="Y24" t="n">
        <v>2862124</v>
      </c>
      <c r="Z24" t="n">
        <v>3021647</v>
      </c>
      <c r="AA24" t="n">
        <v>3141356</v>
      </c>
      <c r="AB24" t="n">
        <v>3340562</v>
      </c>
      <c r="AC24" t="n">
        <v>3824075</v>
      </c>
      <c r="AD24" t="n">
        <v>4058105</v>
      </c>
      <c r="AE24" t="n">
        <v>4248389</v>
      </c>
      <c r="AF24" t="n">
        <v>4983397</v>
      </c>
    </row>
    <row r="25">
      <c r="A25" t="s">
        <v>10</v>
      </c>
      <c r="B25" t="s">
        <v>207</v>
      </c>
      <c r="C25" t="s">
        <v>129</v>
      </c>
      <c r="D25" t="s">
        <v>208</v>
      </c>
      <c r="E25" t="s">
        <v>130</v>
      </c>
      <c r="F25"/>
      <c r="G25" t="n">
        <v>49540</v>
      </c>
      <c r="H25" t="n">
        <v>66345</v>
      </c>
      <c r="I25" t="n">
        <v>90327</v>
      </c>
      <c r="J25" t="n">
        <v>107971</v>
      </c>
      <c r="K25" t="n">
        <v>127924</v>
      </c>
      <c r="L25" t="n">
        <v>141045</v>
      </c>
      <c r="M25" t="n">
        <v>213332</v>
      </c>
      <c r="N25" t="n">
        <v>221551</v>
      </c>
      <c r="O25" t="n">
        <v>204428</v>
      </c>
      <c r="P25" t="n">
        <v>220146</v>
      </c>
      <c r="Q25" t="n">
        <v>231020</v>
      </c>
      <c r="R25" t="n">
        <v>257015</v>
      </c>
      <c r="S25" t="n">
        <v>297957</v>
      </c>
      <c r="T25" t="n">
        <v>252535</v>
      </c>
      <c r="U25" t="n">
        <v>217223</v>
      </c>
      <c r="V25" t="n">
        <v>252445</v>
      </c>
      <c r="W25" t="n">
        <v>266905</v>
      </c>
      <c r="X25" t="n">
        <v>268686</v>
      </c>
      <c r="Y25" t="n">
        <v>292770</v>
      </c>
      <c r="Z25" t="n">
        <v>306976</v>
      </c>
      <c r="AA25" t="n">
        <v>334673</v>
      </c>
      <c r="AB25" t="n">
        <v>378816</v>
      </c>
      <c r="AC25" t="n">
        <v>470955</v>
      </c>
      <c r="AD25" t="n">
        <v>502049</v>
      </c>
      <c r="AE25" t="n">
        <v>469060</v>
      </c>
      <c r="AF25" t="n">
        <v>542950</v>
      </c>
    </row>
    <row r="26">
      <c r="A26" t="s">
        <v>10</v>
      </c>
      <c r="B26" t="s">
        <v>209</v>
      </c>
      <c r="C26" t="s">
        <v>129</v>
      </c>
      <c r="D26" t="s">
        <v>210</v>
      </c>
      <c r="E26" t="s">
        <v>130</v>
      </c>
      <c r="F26"/>
      <c r="G26" t="n">
        <v>183016</v>
      </c>
      <c r="H26" t="n">
        <v>258620</v>
      </c>
      <c r="I26" t="n">
        <v>355739</v>
      </c>
      <c r="J26" t="n">
        <v>417619</v>
      </c>
      <c r="K26" t="n">
        <v>482420</v>
      </c>
      <c r="L26" t="n">
        <v>533682</v>
      </c>
      <c r="M26" t="n">
        <v>715259</v>
      </c>
      <c r="N26" t="n">
        <v>797293</v>
      </c>
      <c r="O26" t="n">
        <v>832350</v>
      </c>
      <c r="P26" t="n">
        <v>973959</v>
      </c>
      <c r="Q26" t="n">
        <v>1093101</v>
      </c>
      <c r="R26" t="n">
        <v>1093354</v>
      </c>
      <c r="S26" t="n">
        <v>1177229</v>
      </c>
      <c r="T26" t="n">
        <v>1024254</v>
      </c>
      <c r="U26" t="n">
        <v>1154741</v>
      </c>
      <c r="V26" t="n">
        <v>1199526</v>
      </c>
      <c r="W26" t="n">
        <v>1230103</v>
      </c>
      <c r="X26" t="n">
        <v>1346281</v>
      </c>
      <c r="Y26" t="n">
        <v>1444191</v>
      </c>
      <c r="Z26" t="n">
        <v>1490528</v>
      </c>
      <c r="AA26" t="n">
        <v>1529766</v>
      </c>
      <c r="AB26" t="n">
        <v>1543357</v>
      </c>
      <c r="AC26" t="n">
        <v>1748730</v>
      </c>
      <c r="AD26" t="n">
        <v>1795016</v>
      </c>
      <c r="AE26" t="n">
        <v>2007870</v>
      </c>
      <c r="AF26" t="n">
        <v>2420958</v>
      </c>
    </row>
    <row r="27">
      <c r="A27" t="s">
        <v>10</v>
      </c>
      <c r="B27" t="s">
        <v>211</v>
      </c>
      <c r="C27" t="s">
        <v>129</v>
      </c>
      <c r="D27" t="s">
        <v>212</v>
      </c>
      <c r="E27" t="s">
        <v>130</v>
      </c>
      <c r="F27"/>
      <c r="G27" t="n">
        <v>187124</v>
      </c>
      <c r="H27" t="n">
        <v>246265</v>
      </c>
      <c r="I27" t="n">
        <v>290091</v>
      </c>
      <c r="J27" t="n">
        <v>366008</v>
      </c>
      <c r="K27" t="n">
        <v>415523</v>
      </c>
      <c r="L27" t="n">
        <v>439436</v>
      </c>
      <c r="M27" t="n">
        <v>592276</v>
      </c>
      <c r="N27" t="n">
        <v>676046</v>
      </c>
      <c r="O27" t="n">
        <v>648090</v>
      </c>
      <c r="P27" t="n">
        <v>781204</v>
      </c>
      <c r="Q27" t="n">
        <v>819763</v>
      </c>
      <c r="R27" t="n">
        <v>799107</v>
      </c>
      <c r="S27" t="n">
        <v>888129</v>
      </c>
      <c r="T27" t="n">
        <v>841896</v>
      </c>
      <c r="U27" t="n">
        <v>836243</v>
      </c>
      <c r="V27" t="n">
        <v>875637</v>
      </c>
      <c r="W27" t="n">
        <v>916646</v>
      </c>
      <c r="X27" t="n">
        <v>1002166</v>
      </c>
      <c r="Y27" t="n">
        <v>1125163</v>
      </c>
      <c r="Z27" t="n">
        <v>1224143</v>
      </c>
      <c r="AA27" t="n">
        <v>1276917</v>
      </c>
      <c r="AB27" t="n">
        <v>1418389</v>
      </c>
      <c r="AC27" t="n">
        <v>1604390</v>
      </c>
      <c r="AD27" t="n">
        <v>1761040</v>
      </c>
      <c r="AE27" t="n">
        <v>1771459</v>
      </c>
      <c r="AF27" t="n">
        <v>2019489</v>
      </c>
    </row>
    <row r="28">
      <c r="A28" t="s">
        <v>10</v>
      </c>
      <c r="B28" t="s">
        <v>213</v>
      </c>
      <c r="C28" t="s">
        <v>129</v>
      </c>
      <c r="D28" t="s">
        <v>214</v>
      </c>
      <c r="E28" t="s">
        <v>130</v>
      </c>
      <c r="F28"/>
      <c r="G28" t="n">
        <v>295065</v>
      </c>
      <c r="H28" t="n">
        <v>385046</v>
      </c>
      <c r="I28" t="n">
        <v>462857</v>
      </c>
      <c r="J28" t="n">
        <v>560606</v>
      </c>
      <c r="K28" t="n">
        <v>615972</v>
      </c>
      <c r="L28" t="n">
        <v>695604</v>
      </c>
      <c r="M28" t="n">
        <v>778501</v>
      </c>
      <c r="N28" t="n">
        <v>812777</v>
      </c>
      <c r="O28" t="n">
        <v>890141</v>
      </c>
      <c r="P28" t="n">
        <v>992662</v>
      </c>
      <c r="Q28" t="n">
        <v>1065752</v>
      </c>
      <c r="R28" t="n">
        <v>1195355</v>
      </c>
      <c r="S28" t="n">
        <v>1236665</v>
      </c>
      <c r="T28" t="n">
        <v>1219703</v>
      </c>
      <c r="U28" t="n">
        <v>1357903</v>
      </c>
      <c r="V28" t="n">
        <v>1414291</v>
      </c>
      <c r="W28" t="n">
        <v>1559677</v>
      </c>
      <c r="X28" t="n">
        <v>1558435</v>
      </c>
      <c r="Y28" t="n">
        <v>1722605</v>
      </c>
      <c r="Z28" t="n">
        <v>1836445</v>
      </c>
      <c r="AA28" t="n">
        <v>2009603</v>
      </c>
      <c r="AB28" t="n">
        <v>2074206</v>
      </c>
      <c r="AC28" t="n">
        <v>2197306</v>
      </c>
      <c r="AD28" t="n">
        <v>2386518</v>
      </c>
      <c r="AE28" t="n">
        <v>2241930</v>
      </c>
      <c r="AF28" t="n">
        <v>2489948</v>
      </c>
    </row>
    <row r="29">
      <c r="A29" t="s">
        <v>10</v>
      </c>
      <c r="B29" t="s">
        <v>215</v>
      </c>
      <c r="C29" t="s">
        <v>129</v>
      </c>
      <c r="D29" t="s">
        <v>216</v>
      </c>
      <c r="E29" t="s">
        <v>130</v>
      </c>
      <c r="F29"/>
      <c r="G29" t="n">
        <v>213318</v>
      </c>
      <c r="H29" t="n">
        <v>280010</v>
      </c>
      <c r="I29" t="n">
        <v>335669</v>
      </c>
      <c r="J29" t="n">
        <v>403157</v>
      </c>
      <c r="K29" t="n">
        <v>429534</v>
      </c>
      <c r="L29" t="n">
        <v>455107</v>
      </c>
      <c r="M29" t="n">
        <v>501190</v>
      </c>
      <c r="N29" t="n">
        <v>533516</v>
      </c>
      <c r="O29" t="n">
        <v>576060</v>
      </c>
      <c r="P29" t="n">
        <v>628455</v>
      </c>
      <c r="Q29" t="n">
        <v>569598</v>
      </c>
      <c r="R29" t="n">
        <v>714327</v>
      </c>
      <c r="S29" t="n">
        <v>645005</v>
      </c>
      <c r="T29" t="n">
        <v>610555</v>
      </c>
      <c r="U29" t="n">
        <v>699346</v>
      </c>
      <c r="V29" t="n">
        <v>726433</v>
      </c>
      <c r="W29" t="n">
        <v>720323</v>
      </c>
      <c r="X29" t="n">
        <v>768348</v>
      </c>
      <c r="Y29" t="n">
        <v>839452</v>
      </c>
      <c r="Z29" t="n">
        <v>914600</v>
      </c>
      <c r="AA29" t="n">
        <v>1014249</v>
      </c>
      <c r="AB29" t="n">
        <v>1051082</v>
      </c>
      <c r="AC29" t="n">
        <v>1108667</v>
      </c>
      <c r="AD29" t="n">
        <v>1184236</v>
      </c>
      <c r="AE29" t="n">
        <v>1213454</v>
      </c>
      <c r="AF29" t="n">
        <v>1329841</v>
      </c>
    </row>
    <row r="30">
      <c r="A30" t="s">
        <v>10</v>
      </c>
      <c r="B30" t="s">
        <v>217</v>
      </c>
      <c r="C30" t="s">
        <v>129</v>
      </c>
      <c r="D30" t="s">
        <v>218</v>
      </c>
      <c r="E30" t="s">
        <v>130</v>
      </c>
      <c r="F30"/>
      <c r="G30" t="n">
        <v>3426</v>
      </c>
      <c r="H30" t="n">
        <v>2080</v>
      </c>
      <c r="I30" t="n">
        <v>2175</v>
      </c>
      <c r="J30" t="n">
        <v>1878</v>
      </c>
      <c r="K30" t="n">
        <v>2426</v>
      </c>
      <c r="L30" t="n">
        <v>3153</v>
      </c>
      <c r="M30" t="n">
        <v>2885</v>
      </c>
      <c r="N30" t="n">
        <v>3710</v>
      </c>
      <c r="O30" t="n">
        <v>2933</v>
      </c>
      <c r="P30" t="n">
        <v>4830</v>
      </c>
      <c r="Q30" t="n">
        <v>4459</v>
      </c>
      <c r="R30" t="n">
        <v>4145</v>
      </c>
      <c r="S30" t="n">
        <v>4764</v>
      </c>
      <c r="T30" t="n">
        <v>3651</v>
      </c>
      <c r="U30" t="n">
        <v>3584</v>
      </c>
      <c r="V30" t="n">
        <v>2544</v>
      </c>
      <c r="W30" t="n">
        <v>4268</v>
      </c>
      <c r="X30" t="n">
        <v>2383</v>
      </c>
      <c r="Y30" t="n">
        <v>2591</v>
      </c>
      <c r="Z30" t="n">
        <v>3395</v>
      </c>
      <c r="AA30" t="n">
        <v>4052</v>
      </c>
      <c r="AB30" t="n">
        <v>4744</v>
      </c>
      <c r="AC30" t="n">
        <v>3879</v>
      </c>
      <c r="AD30" t="n">
        <v>1995</v>
      </c>
      <c r="AE30" t="n">
        <v>3458</v>
      </c>
      <c r="AF30" t="n">
        <v>4857</v>
      </c>
    </row>
    <row r="31">
      <c r="A31" t="s">
        <v>10</v>
      </c>
      <c r="B31" t="s">
        <v>219</v>
      </c>
      <c r="C31" t="s">
        <v>129</v>
      </c>
      <c r="D31" t="s">
        <v>220</v>
      </c>
      <c r="E31" t="s">
        <v>130</v>
      </c>
      <c r="F31"/>
      <c r="G31" t="n">
        <v>6331</v>
      </c>
      <c r="H31" t="n">
        <v>11088</v>
      </c>
      <c r="I31" t="n">
        <v>8495</v>
      </c>
      <c r="J31" t="n">
        <v>15549</v>
      </c>
      <c r="K31" t="n">
        <v>9714</v>
      </c>
      <c r="L31" t="n">
        <v>8309</v>
      </c>
      <c r="M31" t="n">
        <v>11153</v>
      </c>
      <c r="N31" t="n">
        <v>20289</v>
      </c>
      <c r="O31" t="n">
        <v>23941</v>
      </c>
      <c r="P31" t="n">
        <v>26639</v>
      </c>
      <c r="Q31" t="n">
        <v>24635</v>
      </c>
      <c r="R31" t="n">
        <v>27271</v>
      </c>
      <c r="S31" t="n">
        <v>16158</v>
      </c>
      <c r="T31" t="n">
        <v>38122</v>
      </c>
      <c r="U31" t="n">
        <v>32514</v>
      </c>
      <c r="V31" t="n">
        <v>27197</v>
      </c>
      <c r="W31" t="n">
        <v>45386</v>
      </c>
      <c r="X31" t="n">
        <v>49952</v>
      </c>
      <c r="Y31" t="n">
        <v>83550</v>
      </c>
      <c r="Z31" t="n">
        <v>150082</v>
      </c>
      <c r="AA31" t="n">
        <v>199304</v>
      </c>
      <c r="AB31" t="n">
        <v>224072</v>
      </c>
      <c r="AC31" t="n">
        <v>213026</v>
      </c>
      <c r="AD31" t="n">
        <v>267731</v>
      </c>
      <c r="AE31" t="n">
        <v>81785</v>
      </c>
      <c r="AF31" t="n">
        <v>53355</v>
      </c>
    </row>
    <row r="32">
      <c r="A32" t="s">
        <v>10</v>
      </c>
      <c r="B32" t="s">
        <v>221</v>
      </c>
      <c r="C32" t="s">
        <v>129</v>
      </c>
      <c r="D32" t="s">
        <v>222</v>
      </c>
      <c r="E32" t="s">
        <v>130</v>
      </c>
      <c r="F32"/>
      <c r="G32" t="n">
        <v>36086</v>
      </c>
      <c r="H32" t="n">
        <v>47444</v>
      </c>
      <c r="I32" t="n">
        <v>61153</v>
      </c>
      <c r="J32" t="n">
        <v>77707</v>
      </c>
      <c r="K32" t="n">
        <v>98159</v>
      </c>
      <c r="L32" t="n">
        <v>116526</v>
      </c>
      <c r="M32" t="n">
        <v>136394</v>
      </c>
      <c r="N32" t="n">
        <v>145119</v>
      </c>
      <c r="O32" t="n">
        <v>167651</v>
      </c>
      <c r="P32" t="n">
        <v>202302</v>
      </c>
      <c r="Q32" t="n">
        <v>322637</v>
      </c>
      <c r="R32" t="n">
        <v>308453</v>
      </c>
      <c r="S32" t="n">
        <v>418193</v>
      </c>
      <c r="T32" t="n">
        <v>430071</v>
      </c>
      <c r="U32" t="n">
        <v>482673</v>
      </c>
      <c r="V32" t="n">
        <v>519450</v>
      </c>
      <c r="W32" t="n">
        <v>651014</v>
      </c>
      <c r="X32" t="n">
        <v>595717</v>
      </c>
      <c r="Y32" t="n">
        <v>645423</v>
      </c>
      <c r="Z32" t="n">
        <v>612962</v>
      </c>
      <c r="AA32" t="n">
        <v>631609</v>
      </c>
      <c r="AB32" t="n">
        <v>641659</v>
      </c>
      <c r="AC32" t="n">
        <v>704305</v>
      </c>
      <c r="AD32" t="n">
        <v>751577</v>
      </c>
      <c r="AE32" t="n">
        <v>751601</v>
      </c>
      <c r="AF32" t="n">
        <v>825122</v>
      </c>
    </row>
    <row r="33">
      <c r="A33" t="s">
        <v>10</v>
      </c>
      <c r="B33" t="s">
        <v>223</v>
      </c>
      <c r="C33" t="s">
        <v>129</v>
      </c>
      <c r="D33" t="s">
        <v>224</v>
      </c>
      <c r="E33" t="s">
        <v>130</v>
      </c>
      <c r="F33"/>
      <c r="G33" t="n">
        <v>35904</v>
      </c>
      <c r="H33" t="n">
        <v>44424</v>
      </c>
      <c r="I33" t="n">
        <v>55365</v>
      </c>
      <c r="J33" t="n">
        <v>62315</v>
      </c>
      <c r="K33" t="n">
        <v>76139</v>
      </c>
      <c r="L33" t="n">
        <v>112509</v>
      </c>
      <c r="M33" t="n">
        <v>126879</v>
      </c>
      <c r="N33" t="n">
        <v>110143</v>
      </c>
      <c r="O33" t="n">
        <v>119556</v>
      </c>
      <c r="P33" t="n">
        <v>130436</v>
      </c>
      <c r="Q33" t="n">
        <v>144423</v>
      </c>
      <c r="R33" t="n">
        <v>141159</v>
      </c>
      <c r="S33" t="n">
        <v>152545</v>
      </c>
      <c r="T33" t="n">
        <v>137304</v>
      </c>
      <c r="U33" t="n">
        <v>139786</v>
      </c>
      <c r="V33" t="n">
        <v>138667</v>
      </c>
      <c r="W33" t="n">
        <v>138686</v>
      </c>
      <c r="X33" t="n">
        <v>142035</v>
      </c>
      <c r="Y33" t="n">
        <v>151589</v>
      </c>
      <c r="Z33" t="n">
        <v>155406</v>
      </c>
      <c r="AA33" t="n">
        <v>160389</v>
      </c>
      <c r="AB33" t="n">
        <v>152649</v>
      </c>
      <c r="AC33" t="n">
        <v>167429</v>
      </c>
      <c r="AD33" t="n">
        <v>180979</v>
      </c>
      <c r="AE33" t="n">
        <v>191632</v>
      </c>
      <c r="AF33" t="n">
        <v>276773</v>
      </c>
    </row>
    <row r="34">
      <c r="A34" t="s">
        <v>10</v>
      </c>
      <c r="B34" t="s">
        <v>225</v>
      </c>
      <c r="C34" t="s">
        <v>129</v>
      </c>
      <c r="D34" t="s">
        <v>226</v>
      </c>
      <c r="E34" t="s">
        <v>130</v>
      </c>
      <c r="F34"/>
      <c r="G34" t="n">
        <v>110437</v>
      </c>
      <c r="H34" t="n">
        <v>139691</v>
      </c>
      <c r="I34" t="n">
        <v>176392</v>
      </c>
      <c r="J34" t="n">
        <v>191383</v>
      </c>
      <c r="K34" t="n">
        <v>201931</v>
      </c>
      <c r="L34" t="n">
        <v>232764</v>
      </c>
      <c r="M34" t="n">
        <v>257538</v>
      </c>
      <c r="N34" t="n">
        <v>293165</v>
      </c>
      <c r="O34" t="n">
        <v>353041</v>
      </c>
      <c r="P34" t="n">
        <v>378650</v>
      </c>
      <c r="Q34" t="n">
        <v>397334</v>
      </c>
      <c r="R34" t="n">
        <v>442523</v>
      </c>
      <c r="S34" t="n">
        <v>421527</v>
      </c>
      <c r="T34" t="n">
        <v>425786</v>
      </c>
      <c r="U34" t="n">
        <v>400184</v>
      </c>
      <c r="V34" t="n">
        <v>423247</v>
      </c>
      <c r="W34" t="n">
        <v>404704</v>
      </c>
      <c r="X34" t="n">
        <v>363609</v>
      </c>
      <c r="Y34" t="n">
        <v>439618</v>
      </c>
      <c r="Z34" t="n">
        <v>476373</v>
      </c>
      <c r="AA34" t="n">
        <v>491648</v>
      </c>
      <c r="AB34" t="n">
        <v>560632</v>
      </c>
      <c r="AC34" t="n">
        <v>647485</v>
      </c>
      <c r="AD34" t="n">
        <v>740215</v>
      </c>
      <c r="AE34" t="n">
        <v>445890</v>
      </c>
      <c r="AF34" t="n">
        <v>757622</v>
      </c>
    </row>
    <row r="35">
      <c r="A35" t="s">
        <v>10</v>
      </c>
      <c r="B35" t="s">
        <v>227</v>
      </c>
      <c r="C35" t="s">
        <v>129</v>
      </c>
      <c r="D35" t="s">
        <v>228</v>
      </c>
      <c r="E35" t="s">
        <v>130</v>
      </c>
      <c r="F35"/>
      <c r="G35" t="n">
        <v>198486</v>
      </c>
      <c r="H35" t="n">
        <v>280158</v>
      </c>
      <c r="I35" t="n">
        <v>378679</v>
      </c>
      <c r="J35" t="n">
        <v>461161</v>
      </c>
      <c r="K35" t="n">
        <v>562609</v>
      </c>
      <c r="L35" t="n">
        <v>615869</v>
      </c>
      <c r="M35" t="n">
        <v>743862</v>
      </c>
      <c r="N35" t="n">
        <v>848161</v>
      </c>
      <c r="O35" t="n">
        <v>891067</v>
      </c>
      <c r="P35" t="n">
        <v>977131</v>
      </c>
      <c r="Q35" t="n">
        <v>1054696</v>
      </c>
      <c r="R35" t="n">
        <v>1136191</v>
      </c>
      <c r="S35" t="n">
        <v>1209902</v>
      </c>
      <c r="T35" t="n">
        <v>1324622</v>
      </c>
      <c r="U35" t="n">
        <v>1270115</v>
      </c>
      <c r="V35" t="n">
        <v>1293440</v>
      </c>
      <c r="W35" t="n">
        <v>1298131</v>
      </c>
      <c r="X35" t="n">
        <v>1331501</v>
      </c>
      <c r="Y35" t="n">
        <v>1408454</v>
      </c>
      <c r="Z35" t="n">
        <v>1445170</v>
      </c>
      <c r="AA35" t="n">
        <v>1503972</v>
      </c>
      <c r="AB35" t="n">
        <v>1652632</v>
      </c>
      <c r="AC35" t="n">
        <v>1814756</v>
      </c>
      <c r="AD35" t="n">
        <v>1990119</v>
      </c>
      <c r="AE35" t="n">
        <v>2127547</v>
      </c>
      <c r="AF35" t="n">
        <v>2539445</v>
      </c>
    </row>
    <row r="36">
      <c r="A36" t="s">
        <v>10</v>
      </c>
      <c r="B36" t="s">
        <v>229</v>
      </c>
      <c r="C36" t="s">
        <v>129</v>
      </c>
      <c r="D36" t="s">
        <v>230</v>
      </c>
      <c r="E36" t="s">
        <v>130</v>
      </c>
      <c r="F36"/>
      <c r="G36" t="n">
        <v>40680</v>
      </c>
      <c r="H36" t="n">
        <v>55910</v>
      </c>
      <c r="I36" t="n">
        <v>65924</v>
      </c>
      <c r="J36" t="n">
        <v>80403</v>
      </c>
      <c r="K36" t="n">
        <v>104934</v>
      </c>
      <c r="L36" t="n">
        <v>118208</v>
      </c>
      <c r="M36" t="n">
        <v>163836</v>
      </c>
      <c r="N36" t="n">
        <v>191377</v>
      </c>
      <c r="O36" t="n">
        <v>185130</v>
      </c>
      <c r="P36" t="n">
        <v>203891</v>
      </c>
      <c r="Q36" t="n">
        <v>243136</v>
      </c>
      <c r="R36" t="n">
        <v>285219</v>
      </c>
      <c r="S36" t="n">
        <v>264394</v>
      </c>
      <c r="T36" t="n">
        <v>301705</v>
      </c>
      <c r="U36" t="n">
        <v>340999</v>
      </c>
      <c r="V36" t="n">
        <v>333772</v>
      </c>
      <c r="W36" t="n">
        <v>331018</v>
      </c>
      <c r="X36" t="n">
        <v>353302</v>
      </c>
      <c r="Y36" t="n">
        <v>319703</v>
      </c>
      <c r="Z36" t="n">
        <v>281942</v>
      </c>
      <c r="AA36" t="n">
        <v>271904</v>
      </c>
      <c r="AB36" t="n">
        <v>325859</v>
      </c>
      <c r="AC36" t="n">
        <v>330299</v>
      </c>
      <c r="AD36" t="n">
        <v>339353</v>
      </c>
      <c r="AE36" t="n">
        <v>330861</v>
      </c>
      <c r="AF36" t="n">
        <v>395871</v>
      </c>
    </row>
    <row r="37">
      <c r="A37" t="s">
        <v>10</v>
      </c>
      <c r="B37" t="s">
        <v>231</v>
      </c>
      <c r="C37" t="s">
        <v>129</v>
      </c>
      <c r="D37" t="s">
        <v>232</v>
      </c>
      <c r="E37" t="s">
        <v>130</v>
      </c>
      <c r="F37"/>
      <c r="G37" t="n">
        <v>123590</v>
      </c>
      <c r="H37" t="n">
        <v>175447</v>
      </c>
      <c r="I37" t="n">
        <v>237726</v>
      </c>
      <c r="J37" t="n">
        <v>283379</v>
      </c>
      <c r="K37" t="n">
        <v>337519</v>
      </c>
      <c r="L37" t="n">
        <v>344792</v>
      </c>
      <c r="M37" t="n">
        <v>403044</v>
      </c>
      <c r="N37" t="n">
        <v>468941</v>
      </c>
      <c r="O37" t="n">
        <v>501415</v>
      </c>
      <c r="P37" t="n">
        <v>537310</v>
      </c>
      <c r="Q37" t="n">
        <v>542406</v>
      </c>
      <c r="R37" t="n">
        <v>540816</v>
      </c>
      <c r="S37" t="n">
        <v>581953</v>
      </c>
      <c r="T37" t="n">
        <v>606932</v>
      </c>
      <c r="U37" t="n">
        <v>489521</v>
      </c>
      <c r="V37" t="n">
        <v>476178</v>
      </c>
      <c r="W37" t="n">
        <v>450364</v>
      </c>
      <c r="X37" t="n">
        <v>416086</v>
      </c>
      <c r="Y37" t="n">
        <v>436057</v>
      </c>
      <c r="Z37" t="n">
        <v>468224</v>
      </c>
      <c r="AA37" t="n">
        <v>478403</v>
      </c>
      <c r="AB37" t="n">
        <v>499958</v>
      </c>
      <c r="AC37" t="n">
        <v>528862</v>
      </c>
      <c r="AD37" t="n">
        <v>571762</v>
      </c>
      <c r="AE37" t="n">
        <v>597814</v>
      </c>
      <c r="AF37" t="n">
        <v>652224</v>
      </c>
    </row>
    <row r="38">
      <c r="A38" t="s">
        <v>10</v>
      </c>
      <c r="B38" t="s">
        <v>233</v>
      </c>
      <c r="C38" t="s">
        <v>129</v>
      </c>
      <c r="D38" t="s">
        <v>234</v>
      </c>
      <c r="E38" t="s">
        <v>130</v>
      </c>
      <c r="F38"/>
      <c r="G38" t="n">
        <v>34216</v>
      </c>
      <c r="H38" t="n">
        <v>48801</v>
      </c>
      <c r="I38" t="n">
        <v>75029</v>
      </c>
      <c r="J38" t="n">
        <v>97379</v>
      </c>
      <c r="K38" t="n">
        <v>120156</v>
      </c>
      <c r="L38" t="n">
        <v>152869</v>
      </c>
      <c r="M38" t="n">
        <v>176982</v>
      </c>
      <c r="N38" t="n">
        <v>187843</v>
      </c>
      <c r="O38" t="n">
        <v>204522</v>
      </c>
      <c r="P38" t="n">
        <v>235930</v>
      </c>
      <c r="Q38" t="n">
        <v>269154</v>
      </c>
      <c r="R38" t="n">
        <v>310156</v>
      </c>
      <c r="S38" t="n">
        <v>363555</v>
      </c>
      <c r="T38" t="n">
        <v>415985</v>
      </c>
      <c r="U38" t="n">
        <v>439595</v>
      </c>
      <c r="V38" t="n">
        <v>483490</v>
      </c>
      <c r="W38" t="n">
        <v>516749</v>
      </c>
      <c r="X38" t="n">
        <v>562113</v>
      </c>
      <c r="Y38" t="n">
        <v>652694</v>
      </c>
      <c r="Z38" t="n">
        <v>695004</v>
      </c>
      <c r="AA38" t="n">
        <v>753665</v>
      </c>
      <c r="AB38" t="n">
        <v>826815</v>
      </c>
      <c r="AC38" t="n">
        <v>955595</v>
      </c>
      <c r="AD38" t="n">
        <v>1079004</v>
      </c>
      <c r="AE38" t="n">
        <v>1198872</v>
      </c>
      <c r="AF38" t="n">
        <v>1491350</v>
      </c>
    </row>
    <row r="39">
      <c r="A39" t="s">
        <v>10</v>
      </c>
      <c r="B39" t="s">
        <v>235</v>
      </c>
      <c r="C39" t="s">
        <v>129</v>
      </c>
      <c r="D39" t="s">
        <v>236</v>
      </c>
      <c r="E39" t="s">
        <v>130</v>
      </c>
      <c r="F39"/>
      <c r="G39" t="n">
        <v>211054</v>
      </c>
      <c r="H39" t="n">
        <v>219855</v>
      </c>
      <c r="I39" t="n">
        <v>308118</v>
      </c>
      <c r="J39" t="n">
        <v>296920</v>
      </c>
      <c r="K39" t="n">
        <v>371931</v>
      </c>
      <c r="L39" t="n">
        <v>399936</v>
      </c>
      <c r="M39" t="n">
        <v>490119</v>
      </c>
      <c r="N39" t="n">
        <v>574283</v>
      </c>
      <c r="O39" t="n">
        <v>653679</v>
      </c>
      <c r="P39" t="n">
        <v>713779</v>
      </c>
      <c r="Q39" t="n">
        <v>832786</v>
      </c>
      <c r="R39" t="n">
        <v>957482</v>
      </c>
      <c r="S39" t="n">
        <v>1001527</v>
      </c>
      <c r="T39" t="n">
        <v>1000365</v>
      </c>
      <c r="U39" t="n">
        <v>1052261</v>
      </c>
      <c r="V39" t="n">
        <v>1097562</v>
      </c>
      <c r="W39" t="n">
        <v>1138325</v>
      </c>
      <c r="X39" t="n">
        <v>1107334</v>
      </c>
      <c r="Y39" t="n">
        <v>1065545</v>
      </c>
      <c r="Z39" t="n">
        <v>1135795</v>
      </c>
      <c r="AA39" t="n">
        <v>1123511</v>
      </c>
      <c r="AB39" t="n">
        <v>1141926</v>
      </c>
      <c r="AC39" t="n">
        <v>1332735</v>
      </c>
      <c r="AD39" t="n">
        <v>1546868</v>
      </c>
      <c r="AE39" t="n">
        <v>1647993</v>
      </c>
      <c r="AF39" t="n">
        <v>1857651</v>
      </c>
    </row>
    <row r="40">
      <c r="A40" t="s">
        <v>10</v>
      </c>
      <c r="B40" t="s">
        <v>237</v>
      </c>
      <c r="C40" t="s">
        <v>129</v>
      </c>
      <c r="D40" t="s">
        <v>238</v>
      </c>
      <c r="E40" t="s">
        <v>130</v>
      </c>
      <c r="F40"/>
      <c r="G40" t="n">
        <v>362485</v>
      </c>
      <c r="H40" t="n">
        <v>470026</v>
      </c>
      <c r="I40" t="n">
        <v>562836</v>
      </c>
      <c r="J40" t="n">
        <v>723173</v>
      </c>
      <c r="K40" t="n">
        <v>843341</v>
      </c>
      <c r="L40" t="n">
        <v>963273</v>
      </c>
      <c r="M40" t="n">
        <v>1092873</v>
      </c>
      <c r="N40" t="n">
        <v>1301562</v>
      </c>
      <c r="O40" t="n">
        <v>1336578</v>
      </c>
      <c r="P40" t="n">
        <v>1497811</v>
      </c>
      <c r="Q40" t="n">
        <v>1640056</v>
      </c>
      <c r="R40" t="n">
        <v>1646633</v>
      </c>
      <c r="S40" t="n">
        <v>1801945</v>
      </c>
      <c r="T40" t="n">
        <v>1973046</v>
      </c>
      <c r="U40" t="n">
        <v>2205709</v>
      </c>
      <c r="V40" t="n">
        <v>2343117</v>
      </c>
      <c r="W40" t="n">
        <v>2262421</v>
      </c>
      <c r="X40" t="n">
        <v>2249320</v>
      </c>
      <c r="Y40" t="n">
        <v>2272302</v>
      </c>
      <c r="Z40" t="n">
        <v>2327265</v>
      </c>
      <c r="AA40" t="n">
        <v>2542694</v>
      </c>
      <c r="AB40" t="n">
        <v>2789599</v>
      </c>
      <c r="AC40" t="n">
        <v>3172170</v>
      </c>
      <c r="AD40" t="n">
        <v>3587383</v>
      </c>
      <c r="AE40" t="n">
        <v>4111074</v>
      </c>
      <c r="AF40" t="n">
        <v>4366425</v>
      </c>
    </row>
    <row r="41">
      <c r="A41" t="s">
        <v>10</v>
      </c>
      <c r="B41" t="s">
        <v>239</v>
      </c>
      <c r="C41" t="s">
        <v>129</v>
      </c>
      <c r="D41" t="s">
        <v>240</v>
      </c>
      <c r="E41" t="s">
        <v>130</v>
      </c>
      <c r="F41"/>
      <c r="G41" t="n">
        <v>305351</v>
      </c>
      <c r="H41" t="n">
        <v>395479</v>
      </c>
      <c r="I41" t="n">
        <v>470394</v>
      </c>
      <c r="J41" t="n">
        <v>569579</v>
      </c>
      <c r="K41" t="n">
        <v>643386</v>
      </c>
      <c r="L41" t="n">
        <v>724887</v>
      </c>
      <c r="M41" t="n">
        <v>805051</v>
      </c>
      <c r="N41" t="n">
        <v>874414</v>
      </c>
      <c r="O41" t="n">
        <v>916536</v>
      </c>
      <c r="P41" t="n">
        <v>1003127</v>
      </c>
      <c r="Q41" t="n">
        <v>1079499</v>
      </c>
      <c r="R41" t="n">
        <v>1136848</v>
      </c>
      <c r="S41" t="n">
        <v>1228921</v>
      </c>
      <c r="T41" t="n">
        <v>1320829</v>
      </c>
      <c r="U41" t="n">
        <v>1585972</v>
      </c>
      <c r="V41" t="n">
        <v>1592698</v>
      </c>
      <c r="W41" t="n">
        <v>1548969</v>
      </c>
      <c r="X41" t="n">
        <v>1515414</v>
      </c>
      <c r="Y41" t="n">
        <v>1504064</v>
      </c>
      <c r="Z41" t="n">
        <v>1561560</v>
      </c>
      <c r="AA41" t="n">
        <v>1705733</v>
      </c>
      <c r="AB41" t="n">
        <v>1877351</v>
      </c>
      <c r="AC41" t="n">
        <v>2147853</v>
      </c>
      <c r="AD41" t="n">
        <v>2466251</v>
      </c>
      <c r="AE41" t="n">
        <v>2901792</v>
      </c>
      <c r="AF41" t="n">
        <v>2956678</v>
      </c>
    </row>
    <row r="42">
      <c r="A42" t="s">
        <v>10</v>
      </c>
      <c r="B42" t="s">
        <v>241</v>
      </c>
      <c r="C42" t="s">
        <v>129</v>
      </c>
      <c r="D42" t="s">
        <v>242</v>
      </c>
      <c r="E42" t="s">
        <v>130</v>
      </c>
      <c r="F42"/>
      <c r="G42" t="n">
        <v>203857</v>
      </c>
      <c r="H42" t="n">
        <v>264484</v>
      </c>
      <c r="I42" t="n">
        <v>324878</v>
      </c>
      <c r="J42" t="n">
        <v>380367</v>
      </c>
      <c r="K42" t="n">
        <v>453821</v>
      </c>
      <c r="L42" t="n">
        <v>564544</v>
      </c>
      <c r="M42" t="n">
        <v>698443</v>
      </c>
      <c r="N42" t="n">
        <v>765643</v>
      </c>
      <c r="O42" t="n">
        <v>801607</v>
      </c>
      <c r="P42" t="n">
        <v>933079</v>
      </c>
      <c r="Q42" t="n">
        <v>1043863</v>
      </c>
      <c r="R42" t="n">
        <v>1083639</v>
      </c>
      <c r="S42" t="n">
        <v>1168295</v>
      </c>
      <c r="T42" t="n">
        <v>1219299</v>
      </c>
      <c r="U42" t="n">
        <v>1291023</v>
      </c>
      <c r="V42" t="n">
        <v>1348938</v>
      </c>
      <c r="W42" t="n">
        <v>1349188</v>
      </c>
      <c r="X42" t="n">
        <v>1432881</v>
      </c>
      <c r="Y42" t="n">
        <v>1509985</v>
      </c>
      <c r="Z42" t="n">
        <v>1637968</v>
      </c>
      <c r="AA42" t="n">
        <v>1793400</v>
      </c>
      <c r="AB42" t="n">
        <v>1992017</v>
      </c>
      <c r="AC42" t="n">
        <v>2241640</v>
      </c>
      <c r="AD42" t="n">
        <v>2471173</v>
      </c>
      <c r="AE42" t="n">
        <v>2599907</v>
      </c>
      <c r="AF42" t="n">
        <v>2981894</v>
      </c>
    </row>
    <row r="43">
      <c r="A43" t="s">
        <v>10</v>
      </c>
      <c r="B43" t="s">
        <v>243</v>
      </c>
      <c r="C43" t="s">
        <v>129</v>
      </c>
      <c r="D43" t="s">
        <v>244</v>
      </c>
      <c r="E43" t="s">
        <v>130</v>
      </c>
      <c r="F43"/>
      <c r="G43" t="n">
        <v>327707</v>
      </c>
      <c r="H43" t="n">
        <v>408607</v>
      </c>
      <c r="I43" t="n">
        <v>502142</v>
      </c>
      <c r="J43" t="n">
        <v>593870</v>
      </c>
      <c r="K43" t="n">
        <v>713187</v>
      </c>
      <c r="L43" t="n">
        <v>893552</v>
      </c>
      <c r="M43" t="n">
        <v>1105933</v>
      </c>
      <c r="N43" t="n">
        <v>1249526</v>
      </c>
      <c r="O43" t="n">
        <v>1310869</v>
      </c>
      <c r="P43" t="n">
        <v>1520518</v>
      </c>
      <c r="Q43" t="n">
        <v>1687324</v>
      </c>
      <c r="R43" t="n">
        <v>1729699</v>
      </c>
      <c r="S43" t="n">
        <v>1851509</v>
      </c>
      <c r="T43" t="n">
        <v>1948531</v>
      </c>
      <c r="U43" t="n">
        <v>2023864</v>
      </c>
      <c r="V43" t="n">
        <v>2144034</v>
      </c>
      <c r="W43" t="n">
        <v>2186135</v>
      </c>
      <c r="X43" t="n">
        <v>2261775</v>
      </c>
      <c r="Y43" t="n">
        <v>2427763</v>
      </c>
      <c r="Z43" t="n">
        <v>2631532</v>
      </c>
      <c r="AA43" t="n">
        <v>2854251</v>
      </c>
      <c r="AB43" t="n">
        <v>3243596</v>
      </c>
      <c r="AC43" t="n">
        <v>3617286</v>
      </c>
      <c r="AD43" t="n">
        <v>3966023</v>
      </c>
      <c r="AE43" t="n">
        <v>3948174</v>
      </c>
      <c r="AF43" t="n">
        <v>4688881</v>
      </c>
    </row>
    <row r="44">
      <c r="A44" t="s">
        <v>10</v>
      </c>
      <c r="B44" t="s">
        <v>245</v>
      </c>
      <c r="C44" t="s">
        <v>129</v>
      </c>
      <c r="D44" t="s">
        <v>246</v>
      </c>
      <c r="E44" t="s">
        <v>130</v>
      </c>
      <c r="F44"/>
      <c r="G44" t="n">
        <v>3732633</v>
      </c>
      <c r="H44" t="n">
        <v>4741048</v>
      </c>
      <c r="I44" t="n">
        <v>6059849</v>
      </c>
      <c r="J44" t="n">
        <v>7021935</v>
      </c>
      <c r="K44" t="n">
        <v>7744449</v>
      </c>
      <c r="L44" t="n">
        <v>8840569</v>
      </c>
      <c r="M44" t="n">
        <v>10488681</v>
      </c>
      <c r="N44" t="n">
        <v>11593838</v>
      </c>
      <c r="O44" t="n">
        <v>12689607</v>
      </c>
      <c r="P44" t="n">
        <v>13886417</v>
      </c>
      <c r="Q44" t="n">
        <v>14936453</v>
      </c>
      <c r="R44" t="n">
        <v>15747829</v>
      </c>
      <c r="S44" t="n">
        <v>16632647</v>
      </c>
      <c r="T44" t="n">
        <v>15674971</v>
      </c>
      <c r="U44" t="n">
        <v>16501767</v>
      </c>
      <c r="V44" t="n">
        <v>17269544</v>
      </c>
      <c r="W44" t="n">
        <v>17543088</v>
      </c>
      <c r="X44" t="n">
        <v>18394396</v>
      </c>
      <c r="Y44" t="n">
        <v>20150785</v>
      </c>
      <c r="Z44" t="n">
        <v>21694155</v>
      </c>
      <c r="AA44" t="n">
        <v>22648950</v>
      </c>
      <c r="AB44" t="n">
        <v>23918831</v>
      </c>
      <c r="AC44" t="n">
        <v>26332709</v>
      </c>
      <c r="AD44" t="n">
        <v>28760703</v>
      </c>
      <c r="AE44" t="n">
        <v>28086733</v>
      </c>
      <c r="AF44" t="n">
        <v>32718842</v>
      </c>
    </row>
    <row r="45">
      <c r="A45" t="s">
        <v>10</v>
      </c>
      <c r="B45" t="s">
        <v>247</v>
      </c>
      <c r="C45" t="s">
        <v>129</v>
      </c>
      <c r="D45" t="s">
        <v>248</v>
      </c>
      <c r="E45" t="s">
        <v>130</v>
      </c>
      <c r="F45"/>
      <c r="G45" t="n">
        <v>3285684</v>
      </c>
      <c r="H45" t="n">
        <v>4230532</v>
      </c>
      <c r="I45" t="n">
        <v>5461303</v>
      </c>
      <c r="J45" t="n">
        <v>6358703</v>
      </c>
      <c r="K45" t="n">
        <v>7173130</v>
      </c>
      <c r="L45" t="n">
        <v>8080583</v>
      </c>
      <c r="M45" t="n">
        <v>9832744</v>
      </c>
      <c r="N45" t="n">
        <v>10832122</v>
      </c>
      <c r="O45" t="n">
        <v>11569139</v>
      </c>
      <c r="P45" t="n">
        <v>13020541</v>
      </c>
      <c r="Q45" t="n">
        <v>14149189</v>
      </c>
      <c r="R45" t="n">
        <v>15059555</v>
      </c>
      <c r="S45" t="n">
        <v>15238051</v>
      </c>
      <c r="T45" t="n">
        <v>14856891</v>
      </c>
      <c r="U45" t="n">
        <v>15884758</v>
      </c>
      <c r="V45" t="n">
        <v>16307787</v>
      </c>
      <c r="W45" t="n">
        <v>16652426</v>
      </c>
      <c r="X45" t="n">
        <v>17102783</v>
      </c>
      <c r="Y45" t="n">
        <v>18780107</v>
      </c>
      <c r="Z45" t="n">
        <v>20414604</v>
      </c>
      <c r="AA45" t="n">
        <v>21161328</v>
      </c>
      <c r="AB45" t="n">
        <v>22604434</v>
      </c>
      <c r="AC45" t="n">
        <v>24782080</v>
      </c>
      <c r="AD45" t="n">
        <v>27272591</v>
      </c>
      <c r="AE45" t="n">
        <v>26625944</v>
      </c>
      <c r="AF45" t="n">
        <v>31051957</v>
      </c>
    </row>
    <row r="46">
      <c r="A46" t="s">
        <v>10</v>
      </c>
      <c r="B46" t="s">
        <v>249</v>
      </c>
      <c r="C46" t="s">
        <v>129</v>
      </c>
      <c r="D46" t="s">
        <v>250</v>
      </c>
      <c r="E46" t="s">
        <v>130</v>
      </c>
      <c r="F46"/>
      <c r="G46" t="n">
        <v>123850</v>
      </c>
      <c r="H46" t="n">
        <v>144123</v>
      </c>
      <c r="I46" t="n">
        <v>177264</v>
      </c>
      <c r="J46" t="n">
        <v>213503</v>
      </c>
      <c r="K46" t="n">
        <v>259366</v>
      </c>
      <c r="L46" t="n">
        <v>329008</v>
      </c>
      <c r="M46" t="n">
        <v>407490</v>
      </c>
      <c r="N46" t="n">
        <v>483883</v>
      </c>
      <c r="O46" t="n">
        <v>509262</v>
      </c>
      <c r="P46" t="n">
        <v>587439</v>
      </c>
      <c r="Q46" t="n">
        <v>643461</v>
      </c>
      <c r="R46" t="n">
        <v>646060</v>
      </c>
      <c r="S46" t="n">
        <v>683214</v>
      </c>
      <c r="T46" t="n">
        <v>729232</v>
      </c>
      <c r="U46" t="n">
        <v>732841</v>
      </c>
      <c r="V46" t="n">
        <v>795096</v>
      </c>
      <c r="W46" t="n">
        <v>836947</v>
      </c>
      <c r="X46" t="n">
        <v>828894</v>
      </c>
      <c r="Y46" t="n">
        <v>917778</v>
      </c>
      <c r="Z46" t="n">
        <v>993564</v>
      </c>
      <c r="AA46" t="n">
        <v>1060851</v>
      </c>
      <c r="AB46" t="n">
        <v>1251579</v>
      </c>
      <c r="AC46" t="n">
        <v>1375646</v>
      </c>
      <c r="AD46" t="n">
        <v>1494850</v>
      </c>
      <c r="AE46" t="n">
        <v>1348267</v>
      </c>
      <c r="AF46" t="n">
        <v>1706987</v>
      </c>
    </row>
    <row r="47">
      <c r="A47" t="s">
        <v>10</v>
      </c>
      <c r="B47" t="s">
        <v>251</v>
      </c>
      <c r="C47" t="s">
        <v>129</v>
      </c>
      <c r="D47" t="s">
        <v>252</v>
      </c>
      <c r="E47" t="s">
        <v>130</v>
      </c>
      <c r="F47"/>
      <c r="G47" t="n">
        <v>422809</v>
      </c>
      <c r="H47" t="n">
        <v>494281</v>
      </c>
      <c r="I47" t="n">
        <v>616610</v>
      </c>
      <c r="J47" t="n">
        <v>742200</v>
      </c>
      <c r="K47" t="n">
        <v>872206</v>
      </c>
      <c r="L47" t="n">
        <v>995086</v>
      </c>
      <c r="M47" t="n">
        <v>1163886</v>
      </c>
      <c r="N47" t="n">
        <v>1383567</v>
      </c>
      <c r="O47" t="n">
        <v>1470590</v>
      </c>
      <c r="P47" t="n">
        <v>1559212</v>
      </c>
      <c r="Q47" t="n">
        <v>1672967</v>
      </c>
      <c r="R47" t="n">
        <v>1814772</v>
      </c>
      <c r="S47" t="n">
        <v>1876966</v>
      </c>
      <c r="T47" t="n">
        <v>2026467</v>
      </c>
      <c r="U47" t="n">
        <v>2081216</v>
      </c>
      <c r="V47" t="n">
        <v>2058611</v>
      </c>
      <c r="W47" t="n">
        <v>2024538</v>
      </c>
      <c r="X47" t="n">
        <v>2130072</v>
      </c>
      <c r="Y47" t="n">
        <v>2208964</v>
      </c>
      <c r="Z47" t="n">
        <v>2320120</v>
      </c>
      <c r="AA47" t="n">
        <v>2393412</v>
      </c>
      <c r="AB47" t="n">
        <v>2521095</v>
      </c>
      <c r="AC47" t="n">
        <v>2738129</v>
      </c>
      <c r="AD47" t="n">
        <v>2882589</v>
      </c>
      <c r="AE47" t="n">
        <v>3220382</v>
      </c>
      <c r="AF47" t="n">
        <v>3368044</v>
      </c>
    </row>
    <row r="48">
      <c r="A48" t="s">
        <v>10</v>
      </c>
      <c r="B48" t="s">
        <v>253</v>
      </c>
      <c r="C48" t="s">
        <v>129</v>
      </c>
      <c r="D48" t="s">
        <v>254</v>
      </c>
      <c r="E48" t="s">
        <v>130</v>
      </c>
      <c r="F48"/>
      <c r="G48" t="n">
        <v>934798</v>
      </c>
      <c r="H48" t="n">
        <v>1064897</v>
      </c>
      <c r="I48" t="n">
        <v>1315038</v>
      </c>
      <c r="J48" t="n">
        <v>1542791</v>
      </c>
      <c r="K48" t="n">
        <v>1847206</v>
      </c>
      <c r="L48" t="n">
        <v>2049827</v>
      </c>
      <c r="M48" t="n">
        <v>2381232</v>
      </c>
      <c r="N48" t="n">
        <v>2863389</v>
      </c>
      <c r="O48" t="n">
        <v>3203470</v>
      </c>
      <c r="P48" t="n">
        <v>3425791</v>
      </c>
      <c r="Q48" t="n">
        <v>3626332</v>
      </c>
      <c r="R48" t="n">
        <v>3777507</v>
      </c>
      <c r="S48" t="n">
        <v>3875392</v>
      </c>
      <c r="T48" t="n">
        <v>4089289</v>
      </c>
      <c r="U48" t="n">
        <v>4073378</v>
      </c>
      <c r="V48" t="n">
        <v>4127392</v>
      </c>
      <c r="W48" t="n">
        <v>4105066</v>
      </c>
      <c r="X48" t="n">
        <v>4342325</v>
      </c>
      <c r="Y48" t="n">
        <v>4372965</v>
      </c>
      <c r="Z48" t="n">
        <v>4721413</v>
      </c>
      <c r="AA48" t="n">
        <v>5041862</v>
      </c>
      <c r="AB48" t="n">
        <v>5344996</v>
      </c>
      <c r="AC48" t="n">
        <v>5806650</v>
      </c>
      <c r="AD48" t="n">
        <v>6260539</v>
      </c>
      <c r="AE48" t="n">
        <v>6458951</v>
      </c>
      <c r="AF48" t="n">
        <v>7253429</v>
      </c>
    </row>
    <row r="49">
      <c r="A49" t="s">
        <v>10</v>
      </c>
      <c r="B49" t="s">
        <v>255</v>
      </c>
      <c r="C49" t="s">
        <v>129</v>
      </c>
      <c r="D49" t="s">
        <v>256</v>
      </c>
      <c r="E49" t="s">
        <v>130</v>
      </c>
      <c r="F49"/>
      <c r="G49" t="n">
        <v>278610</v>
      </c>
      <c r="H49" t="n">
        <v>310324</v>
      </c>
      <c r="I49" t="n">
        <v>381276</v>
      </c>
      <c r="J49" t="n">
        <v>432645</v>
      </c>
      <c r="K49" t="n">
        <v>530088</v>
      </c>
      <c r="L49" t="n">
        <v>576339</v>
      </c>
      <c r="M49" t="n">
        <v>660681</v>
      </c>
      <c r="N49" t="n">
        <v>785627</v>
      </c>
      <c r="O49" t="n">
        <v>931743</v>
      </c>
      <c r="P49" t="n">
        <v>977007</v>
      </c>
      <c r="Q49" t="n">
        <v>1045753</v>
      </c>
      <c r="R49" t="n">
        <v>1107966</v>
      </c>
      <c r="S49" t="n">
        <v>1082495</v>
      </c>
      <c r="T49" t="n">
        <v>1110829</v>
      </c>
      <c r="U49" t="n">
        <v>1090638</v>
      </c>
      <c r="V49" t="n">
        <v>1102893</v>
      </c>
      <c r="W49" t="n">
        <v>1098701</v>
      </c>
      <c r="X49" t="n">
        <v>1097321</v>
      </c>
      <c r="Y49" t="n">
        <v>975346</v>
      </c>
      <c r="Z49" t="n">
        <v>1216882</v>
      </c>
      <c r="AA49" t="n">
        <v>1350819</v>
      </c>
      <c r="AB49" t="n">
        <v>1449146</v>
      </c>
      <c r="AC49" t="n">
        <v>1559021</v>
      </c>
      <c r="AD49" t="n">
        <v>1661503</v>
      </c>
      <c r="AE49" t="n">
        <v>1807748</v>
      </c>
      <c r="AF49" t="n">
        <v>1819503</v>
      </c>
    </row>
    <row r="50">
      <c r="A50" t="s">
        <v>10</v>
      </c>
      <c r="B50" t="s">
        <v>257</v>
      </c>
      <c r="C50" t="s">
        <v>129</v>
      </c>
      <c r="D50" t="s">
        <v>258</v>
      </c>
      <c r="E50" t="s">
        <v>130</v>
      </c>
      <c r="F50"/>
      <c r="G50" t="n">
        <v>233379</v>
      </c>
      <c r="H50" t="n">
        <v>260292</v>
      </c>
      <c r="I50" t="n">
        <v>317152</v>
      </c>
      <c r="J50" t="n">
        <v>367946</v>
      </c>
      <c r="K50" t="n">
        <v>444912</v>
      </c>
      <c r="L50" t="n">
        <v>478402</v>
      </c>
      <c r="M50" t="n">
        <v>556665</v>
      </c>
      <c r="N50" t="n">
        <v>694195</v>
      </c>
      <c r="O50" t="n">
        <v>801137</v>
      </c>
      <c r="P50" t="n">
        <v>889572</v>
      </c>
      <c r="Q50" t="n">
        <v>907612</v>
      </c>
      <c r="R50" t="n">
        <v>854769</v>
      </c>
      <c r="S50" t="n">
        <v>915931</v>
      </c>
      <c r="T50" t="n">
        <v>951993</v>
      </c>
      <c r="U50" t="n">
        <v>901524</v>
      </c>
      <c r="V50" t="n">
        <v>965888</v>
      </c>
      <c r="W50" t="n">
        <v>981827</v>
      </c>
      <c r="X50" t="n">
        <v>1114932</v>
      </c>
      <c r="Y50" t="n">
        <v>1188655</v>
      </c>
      <c r="Z50" t="n">
        <v>1184411</v>
      </c>
      <c r="AA50" t="n">
        <v>1297631</v>
      </c>
      <c r="AB50" t="n">
        <v>1374755</v>
      </c>
      <c r="AC50" t="n">
        <v>1509500</v>
      </c>
      <c r="AD50" t="n">
        <v>1716447</v>
      </c>
      <c r="AE50" t="n">
        <v>1430821</v>
      </c>
      <c r="AF50" t="n">
        <v>2065882</v>
      </c>
    </row>
    <row r="51">
      <c r="A51" t="s">
        <v>10</v>
      </c>
      <c r="B51" t="s">
        <v>259</v>
      </c>
      <c r="C51" t="s">
        <v>129</v>
      </c>
      <c r="D51" t="s">
        <v>260</v>
      </c>
      <c r="E51" t="s">
        <v>130</v>
      </c>
      <c r="F51"/>
      <c r="G51" t="n">
        <v>184871</v>
      </c>
      <c r="H51" t="n">
        <v>204630</v>
      </c>
      <c r="I51" t="n">
        <v>248484</v>
      </c>
      <c r="J51" t="n">
        <v>291321</v>
      </c>
      <c r="K51" t="n">
        <v>355532</v>
      </c>
      <c r="L51" t="n">
        <v>380276</v>
      </c>
      <c r="M51" t="n">
        <v>437513</v>
      </c>
      <c r="N51" t="n">
        <v>546165</v>
      </c>
      <c r="O51" t="n">
        <v>624981</v>
      </c>
      <c r="P51" t="n">
        <v>692787</v>
      </c>
      <c r="Q51" t="n">
        <v>696039</v>
      </c>
      <c r="R51" t="n">
        <v>631494</v>
      </c>
      <c r="S51" t="n">
        <v>697857</v>
      </c>
      <c r="T51" t="n">
        <v>708381</v>
      </c>
      <c r="U51" t="n">
        <v>672807</v>
      </c>
      <c r="V51" t="n">
        <v>735903</v>
      </c>
      <c r="W51" t="n">
        <v>765365</v>
      </c>
      <c r="X51" t="n">
        <v>875542</v>
      </c>
      <c r="Y51" t="n">
        <v>924206</v>
      </c>
      <c r="Z51" t="n">
        <v>913764</v>
      </c>
      <c r="AA51" t="n">
        <v>1013743</v>
      </c>
      <c r="AB51" t="n">
        <v>1063224</v>
      </c>
      <c r="AC51" t="n">
        <v>1162225</v>
      </c>
      <c r="AD51" t="n">
        <v>1330950</v>
      </c>
      <c r="AE51" t="n">
        <v>1004106</v>
      </c>
      <c r="AF51" t="n">
        <v>1617619</v>
      </c>
    </row>
    <row r="52">
      <c r="A52" t="s">
        <v>10</v>
      </c>
      <c r="B52" t="s">
        <v>261</v>
      </c>
      <c r="C52" t="s">
        <v>129</v>
      </c>
      <c r="D52" t="s">
        <v>262</v>
      </c>
      <c r="E52" t="s">
        <v>130</v>
      </c>
      <c r="F52"/>
      <c r="G52" t="n">
        <v>48508</v>
      </c>
      <c r="H52" t="n">
        <v>55662</v>
      </c>
      <c r="I52" t="n">
        <v>68668</v>
      </c>
      <c r="J52" t="n">
        <v>76625</v>
      </c>
      <c r="K52" t="n">
        <v>89380</v>
      </c>
      <c r="L52" t="n">
        <v>98126</v>
      </c>
      <c r="M52" t="n">
        <v>119152</v>
      </c>
      <c r="N52" t="n">
        <v>148030</v>
      </c>
      <c r="O52" t="n">
        <v>176156</v>
      </c>
      <c r="P52" t="n">
        <v>196785</v>
      </c>
      <c r="Q52" t="n">
        <v>211573</v>
      </c>
      <c r="R52" t="n">
        <v>223275</v>
      </c>
      <c r="S52" t="n">
        <v>218074</v>
      </c>
      <c r="T52" t="n">
        <v>243612</v>
      </c>
      <c r="U52" t="n">
        <v>228717</v>
      </c>
      <c r="V52" t="n">
        <v>229985</v>
      </c>
      <c r="W52" t="n">
        <v>216462</v>
      </c>
      <c r="X52" t="n">
        <v>239390</v>
      </c>
      <c r="Y52" t="n">
        <v>264449</v>
      </c>
      <c r="Z52" t="n">
        <v>270647</v>
      </c>
      <c r="AA52" t="n">
        <v>283888</v>
      </c>
      <c r="AB52" t="n">
        <v>311531</v>
      </c>
      <c r="AC52" t="n">
        <v>347275</v>
      </c>
      <c r="AD52" t="n">
        <v>385497</v>
      </c>
      <c r="AE52" t="n">
        <v>426715</v>
      </c>
      <c r="AF52" t="n">
        <v>448263</v>
      </c>
    </row>
    <row r="53">
      <c r="A53" t="s">
        <v>10</v>
      </c>
      <c r="B53" t="s">
        <v>263</v>
      </c>
      <c r="C53" t="s">
        <v>129</v>
      </c>
      <c r="D53" t="s">
        <v>264</v>
      </c>
      <c r="E53" t="s">
        <v>130</v>
      </c>
      <c r="F53"/>
      <c r="G53" t="n">
        <v>73505</v>
      </c>
      <c r="H53" t="n">
        <v>74903</v>
      </c>
      <c r="I53" t="n">
        <v>85215</v>
      </c>
      <c r="J53" t="n">
        <v>107167</v>
      </c>
      <c r="K53" t="n">
        <v>134271</v>
      </c>
      <c r="L53" t="n">
        <v>161706</v>
      </c>
      <c r="M53" t="n">
        <v>202574</v>
      </c>
      <c r="N53" t="n">
        <v>215411</v>
      </c>
      <c r="O53" t="n">
        <v>203884</v>
      </c>
      <c r="P53" t="n">
        <v>220901</v>
      </c>
      <c r="Q53" t="n">
        <v>244397</v>
      </c>
      <c r="R53" t="n">
        <v>243895</v>
      </c>
      <c r="S53" t="n">
        <v>278060</v>
      </c>
      <c r="T53" t="n">
        <v>257047</v>
      </c>
      <c r="U53" t="n">
        <v>270451</v>
      </c>
      <c r="V53" t="n">
        <v>279124</v>
      </c>
      <c r="W53" t="n">
        <v>281796</v>
      </c>
      <c r="X53" t="n">
        <v>302043</v>
      </c>
      <c r="Y53" t="n">
        <v>324482</v>
      </c>
      <c r="Z53" t="n">
        <v>361804</v>
      </c>
      <c r="AA53" t="n">
        <v>383771</v>
      </c>
      <c r="AB53" t="n">
        <v>446770</v>
      </c>
      <c r="AC53" t="n">
        <v>514900</v>
      </c>
      <c r="AD53" t="n">
        <v>600363</v>
      </c>
      <c r="AE53" t="n">
        <v>532067</v>
      </c>
      <c r="AF53" t="n">
        <v>606644</v>
      </c>
    </row>
    <row r="54">
      <c r="A54" t="s">
        <v>10</v>
      </c>
      <c r="B54" t="s">
        <v>265</v>
      </c>
      <c r="C54" t="s">
        <v>129</v>
      </c>
      <c r="D54" t="s">
        <v>266</v>
      </c>
      <c r="E54" t="s">
        <v>130</v>
      </c>
      <c r="F54"/>
      <c r="G54" t="n">
        <v>185273</v>
      </c>
      <c r="H54" t="n">
        <v>211947</v>
      </c>
      <c r="I54" t="n">
        <v>239263</v>
      </c>
      <c r="J54" t="n">
        <v>282365</v>
      </c>
      <c r="K54" t="n">
        <v>326422</v>
      </c>
      <c r="L54" t="n">
        <v>386233</v>
      </c>
      <c r="M54" t="n">
        <v>452246</v>
      </c>
      <c r="N54" t="n">
        <v>474373</v>
      </c>
      <c r="O54" t="n">
        <v>482789</v>
      </c>
      <c r="P54" t="n">
        <v>533466</v>
      </c>
      <c r="Q54" t="n">
        <v>562166</v>
      </c>
      <c r="R54" t="n">
        <v>604746</v>
      </c>
      <c r="S54" t="n">
        <v>647556</v>
      </c>
      <c r="T54" t="n">
        <v>667163</v>
      </c>
      <c r="U54" t="n">
        <v>663958</v>
      </c>
      <c r="V54" t="n">
        <v>683956</v>
      </c>
      <c r="W54" t="n">
        <v>658179</v>
      </c>
      <c r="X54" t="n">
        <v>692836</v>
      </c>
      <c r="Y54" t="n">
        <v>745929</v>
      </c>
      <c r="Z54" t="n">
        <v>784070</v>
      </c>
      <c r="AA54" t="n">
        <v>842873</v>
      </c>
      <c r="AB54" t="n">
        <v>935039</v>
      </c>
      <c r="AC54" t="n">
        <v>1036136</v>
      </c>
      <c r="AD54" t="n">
        <v>1153223</v>
      </c>
      <c r="AE54" t="n">
        <v>1047915</v>
      </c>
      <c r="AF54" t="n">
        <v>1146635</v>
      </c>
    </row>
    <row r="55">
      <c r="A55" t="s">
        <v>10</v>
      </c>
      <c r="B55" t="s">
        <v>267</v>
      </c>
      <c r="C55" t="s">
        <v>129</v>
      </c>
      <c r="D55" t="s">
        <v>268</v>
      </c>
      <c r="E55" t="s">
        <v>130</v>
      </c>
      <c r="F55"/>
      <c r="G55" t="n">
        <v>111768</v>
      </c>
      <c r="H55" t="n">
        <v>137044</v>
      </c>
      <c r="I55" t="n">
        <v>154048</v>
      </c>
      <c r="J55" t="n">
        <v>175198</v>
      </c>
      <c r="K55" t="n">
        <v>192151</v>
      </c>
      <c r="L55" t="n">
        <v>224527</v>
      </c>
      <c r="M55" t="n">
        <v>249672</v>
      </c>
      <c r="N55" t="n">
        <v>258962</v>
      </c>
      <c r="O55" t="n">
        <v>278905</v>
      </c>
      <c r="P55" t="n">
        <v>312565</v>
      </c>
      <c r="Q55" t="n">
        <v>317769</v>
      </c>
      <c r="R55" t="n">
        <v>360851</v>
      </c>
      <c r="S55" t="n">
        <v>369496</v>
      </c>
      <c r="T55" t="n">
        <v>410116</v>
      </c>
      <c r="U55" t="n">
        <v>393507</v>
      </c>
      <c r="V55" t="n">
        <v>404832</v>
      </c>
      <c r="W55" t="n">
        <v>376383</v>
      </c>
      <c r="X55" t="n">
        <v>390793</v>
      </c>
      <c r="Y55" t="n">
        <v>421447</v>
      </c>
      <c r="Z55" t="n">
        <v>422266</v>
      </c>
      <c r="AA55" t="n">
        <v>459102</v>
      </c>
      <c r="AB55" t="n">
        <v>488269</v>
      </c>
      <c r="AC55" t="n">
        <v>521236</v>
      </c>
      <c r="AD55" t="n">
        <v>552860</v>
      </c>
      <c r="AE55" t="n">
        <v>515848</v>
      </c>
      <c r="AF55" t="n">
        <v>539991</v>
      </c>
    </row>
    <row r="56">
      <c r="A56" t="s">
        <v>10</v>
      </c>
      <c r="B56" t="s">
        <v>269</v>
      </c>
      <c r="C56" t="s">
        <v>129</v>
      </c>
      <c r="D56" t="s">
        <v>270</v>
      </c>
      <c r="E56" t="s">
        <v>130</v>
      </c>
      <c r="F56"/>
      <c r="G56" t="n">
        <v>750</v>
      </c>
      <c r="H56" t="n">
        <v>1103</v>
      </c>
      <c r="I56" t="n">
        <v>1391</v>
      </c>
      <c r="J56" t="n">
        <v>1624</v>
      </c>
      <c r="K56" t="n">
        <v>2064</v>
      </c>
      <c r="L56" t="n">
        <v>2629</v>
      </c>
      <c r="M56" t="n">
        <v>3128</v>
      </c>
      <c r="N56" t="n">
        <v>3078</v>
      </c>
      <c r="O56" t="n">
        <v>3120</v>
      </c>
      <c r="P56" t="n">
        <v>3051</v>
      </c>
      <c r="Q56" t="n">
        <v>3696</v>
      </c>
      <c r="R56" t="n">
        <v>3332</v>
      </c>
      <c r="S56" t="n">
        <v>2925</v>
      </c>
      <c r="T56" t="n">
        <v>2075</v>
      </c>
      <c r="U56" t="n">
        <v>3388</v>
      </c>
      <c r="V56" t="n">
        <v>3486</v>
      </c>
      <c r="W56" t="n">
        <v>3580</v>
      </c>
      <c r="X56" t="n">
        <v>3783</v>
      </c>
      <c r="Y56" t="n">
        <v>3757</v>
      </c>
      <c r="Z56" t="n">
        <v>5500</v>
      </c>
      <c r="AA56" t="n">
        <v>6229</v>
      </c>
      <c r="AB56" t="n">
        <v>6106</v>
      </c>
      <c r="AC56" t="n">
        <v>11194</v>
      </c>
      <c r="AD56" t="n">
        <v>8256</v>
      </c>
      <c r="AE56" t="n">
        <v>8425</v>
      </c>
      <c r="AF56" t="n">
        <v>8270</v>
      </c>
    </row>
    <row r="57">
      <c r="A57" t="s">
        <v>10</v>
      </c>
      <c r="B57" t="s">
        <v>271</v>
      </c>
      <c r="C57" t="s">
        <v>129</v>
      </c>
      <c r="D57" t="s">
        <v>272</v>
      </c>
      <c r="E57" t="s">
        <v>130</v>
      </c>
      <c r="F57"/>
      <c r="G57" t="n">
        <v>5030666</v>
      </c>
      <c r="H57" t="n">
        <v>6277074</v>
      </c>
      <c r="I57" t="n">
        <v>7939114</v>
      </c>
      <c r="J57" t="n">
        <v>9289523</v>
      </c>
      <c r="K57" t="n">
        <v>10437060</v>
      </c>
      <c r="L57" t="n">
        <v>11856298</v>
      </c>
      <c r="M57" t="n">
        <v>13965914</v>
      </c>
      <c r="N57" t="n">
        <v>15761867</v>
      </c>
      <c r="O57" t="n">
        <v>17232775</v>
      </c>
      <c r="P57" t="n">
        <v>18813070</v>
      </c>
      <c r="Q57" t="n">
        <v>20206537</v>
      </c>
      <c r="R57" t="n">
        <v>21175301</v>
      </c>
      <c r="S57" t="n">
        <v>22312909</v>
      </c>
      <c r="T57" t="n">
        <v>21739381</v>
      </c>
      <c r="U57" t="n">
        <v>22784242</v>
      </c>
      <c r="V57" t="n">
        <v>23743539</v>
      </c>
      <c r="W57" t="n">
        <v>23914155</v>
      </c>
      <c r="X57" t="n">
        <v>24989824</v>
      </c>
      <c r="Y57" t="n">
        <v>26799809</v>
      </c>
      <c r="Z57" t="n">
        <v>28748333</v>
      </c>
      <c r="AA57" t="n">
        <v>30239735</v>
      </c>
      <c r="AB57" t="n">
        <v>32059532</v>
      </c>
      <c r="AC57" t="n">
        <v>35322723</v>
      </c>
      <c r="AD57" t="n">
        <v>38616881</v>
      </c>
      <c r="AE57" t="n">
        <v>38665183</v>
      </c>
      <c r="AF57" t="n">
        <v>44346966</v>
      </c>
    </row>
    <row r="58">
      <c r="A58" t="s">
        <v>10</v>
      </c>
      <c r="B58" t="s">
        <v>273</v>
      </c>
      <c r="C58" t="s">
        <v>129</v>
      </c>
      <c r="D58" t="s">
        <v>274</v>
      </c>
      <c r="E58" t="s">
        <v>130</v>
      </c>
      <c r="F58"/>
      <c r="G58" t="n">
        <v>5029916</v>
      </c>
      <c r="H58" t="n">
        <v>6275971</v>
      </c>
      <c r="I58" t="n">
        <v>7937723</v>
      </c>
      <c r="J58" t="n">
        <v>9287899</v>
      </c>
      <c r="K58" t="n">
        <v>10434996</v>
      </c>
      <c r="L58" t="n">
        <v>11853669</v>
      </c>
      <c r="M58" t="n">
        <v>13962786</v>
      </c>
      <c r="N58" t="n">
        <v>15758789</v>
      </c>
      <c r="O58" t="n">
        <v>17229655</v>
      </c>
      <c r="P58" t="n">
        <v>18810019</v>
      </c>
      <c r="Q58" t="n">
        <v>20202841</v>
      </c>
      <c r="R58" t="n">
        <v>21171969</v>
      </c>
      <c r="S58" t="n">
        <v>22309984</v>
      </c>
      <c r="T58" t="n">
        <v>21737306</v>
      </c>
      <c r="U58" t="n">
        <v>22780854</v>
      </c>
      <c r="V58" t="n">
        <v>23740053</v>
      </c>
      <c r="W58" t="n">
        <v>23910575</v>
      </c>
      <c r="X58" t="n">
        <v>24986041</v>
      </c>
      <c r="Y58" t="n">
        <v>26796052</v>
      </c>
      <c r="Z58" t="n">
        <v>28742833</v>
      </c>
      <c r="AA58" t="n">
        <v>30233506</v>
      </c>
      <c r="AB58" t="n">
        <v>32053426</v>
      </c>
      <c r="AC58" t="n">
        <v>35311529</v>
      </c>
      <c r="AD58" t="n">
        <v>38608625</v>
      </c>
      <c r="AE58" t="n">
        <v>38656758</v>
      </c>
      <c r="AF58" t="n">
        <v>44338696</v>
      </c>
    </row>
    <row r="59">
      <c r="A59" t="s">
        <v>10</v>
      </c>
      <c r="B59" t="s">
        <v>275</v>
      </c>
      <c r="C59" t="s">
        <v>129</v>
      </c>
      <c r="D59" t="s">
        <v>276</v>
      </c>
      <c r="E59" t="s">
        <v>130</v>
      </c>
      <c r="F59"/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>
      <c r="A2" t="s">
        <v>12</v>
      </c>
      <c r="B2" t="s">
        <v>84</v>
      </c>
      <c r="C2" t="s">
        <v>129</v>
      </c>
      <c r="D2" t="s">
        <v>86</v>
      </c>
      <c r="E2" t="s">
        <v>130</v>
      </c>
      <c r="F2"/>
      <c r="G2" t="n">
        <v>1067783</v>
      </c>
      <c r="H2" t="n">
        <v>1218558</v>
      </c>
      <c r="I2" t="n">
        <v>1425991</v>
      </c>
      <c r="J2" t="n">
        <v>1524385</v>
      </c>
      <c r="K2" t="n">
        <v>1444686</v>
      </c>
      <c r="L2" t="n">
        <v>1870503</v>
      </c>
      <c r="M2" t="n">
        <v>1859024</v>
      </c>
      <c r="N2" t="n">
        <v>1875627</v>
      </c>
      <c r="O2" t="n">
        <v>2212489</v>
      </c>
      <c r="P2" t="n">
        <v>1990250</v>
      </c>
      <c r="Q2" t="n">
        <v>1956298</v>
      </c>
      <c r="R2" t="n">
        <v>1947657</v>
      </c>
      <c r="S2" t="n">
        <v>2614249</v>
      </c>
      <c r="T2" t="n">
        <v>2244975</v>
      </c>
      <c r="U2" t="n">
        <v>1852096</v>
      </c>
      <c r="V2" t="n">
        <v>2307674</v>
      </c>
      <c r="W2" t="n">
        <v>2363159</v>
      </c>
      <c r="X2" t="n">
        <v>2962390</v>
      </c>
      <c r="Y2" t="n">
        <v>3106433</v>
      </c>
      <c r="Z2" t="n">
        <v>2950634</v>
      </c>
      <c r="AA2" t="n">
        <v>3227128</v>
      </c>
      <c r="AB2" t="n">
        <v>2986655</v>
      </c>
      <c r="AC2" t="n">
        <v>3277345</v>
      </c>
      <c r="AD2" t="n">
        <v>3353168</v>
      </c>
      <c r="AE2" t="n">
        <v>3449991</v>
      </c>
      <c r="AF2" t="n">
        <v>3682520</v>
      </c>
    </row>
    <row r="3">
      <c r="A3" t="s">
        <v>12</v>
      </c>
      <c r="B3" t="s">
        <v>163</v>
      </c>
      <c r="C3" t="s">
        <v>129</v>
      </c>
      <c r="D3" t="s">
        <v>164</v>
      </c>
      <c r="E3" t="s">
        <v>130</v>
      </c>
      <c r="F3"/>
      <c r="G3" t="n">
        <v>53424</v>
      </c>
      <c r="H3" t="n">
        <v>64157</v>
      </c>
      <c r="I3" t="n">
        <v>61172</v>
      </c>
      <c r="J3" t="n">
        <v>61817</v>
      </c>
      <c r="K3" t="n">
        <v>69730</v>
      </c>
      <c r="L3" t="n">
        <v>81850</v>
      </c>
      <c r="M3" t="n">
        <v>87833</v>
      </c>
      <c r="N3" t="n">
        <v>89767</v>
      </c>
      <c r="O3" t="n">
        <v>96084</v>
      </c>
      <c r="P3" t="n">
        <v>112411</v>
      </c>
      <c r="Q3" t="n">
        <v>144506</v>
      </c>
      <c r="R3" t="n">
        <v>131646</v>
      </c>
      <c r="S3" t="n">
        <v>137995</v>
      </c>
      <c r="T3" t="n">
        <v>170587</v>
      </c>
      <c r="U3" t="n">
        <v>90468</v>
      </c>
      <c r="V3" t="n">
        <v>101675</v>
      </c>
      <c r="W3" t="n">
        <v>92470</v>
      </c>
      <c r="X3" t="n">
        <v>126100</v>
      </c>
      <c r="Y3" t="n">
        <v>122902</v>
      </c>
      <c r="Z3" t="n">
        <v>101526</v>
      </c>
      <c r="AA3" t="n">
        <v>90890</v>
      </c>
      <c r="AB3" t="n">
        <v>111446</v>
      </c>
      <c r="AC3" t="n">
        <v>195083</v>
      </c>
      <c r="AD3" t="n">
        <v>268751</v>
      </c>
      <c r="AE3" t="n">
        <v>206519</v>
      </c>
      <c r="AF3" t="n">
        <v>208566</v>
      </c>
    </row>
    <row r="4">
      <c r="A4" t="s">
        <v>12</v>
      </c>
      <c r="B4" t="s">
        <v>165</v>
      </c>
      <c r="C4" t="s">
        <v>129</v>
      </c>
      <c r="D4" t="s">
        <v>166</v>
      </c>
      <c r="E4" t="s">
        <v>130</v>
      </c>
      <c r="F4" t="n">
        <v>0</v>
      </c>
      <c r="G4" t="n">
        <v>3908450</v>
      </c>
      <c r="H4" t="n">
        <v>5347765</v>
      </c>
      <c r="I4" t="n">
        <v>6997605</v>
      </c>
      <c r="J4" t="n">
        <v>8433682</v>
      </c>
      <c r="K4" t="n">
        <v>10189469</v>
      </c>
      <c r="L4" t="n">
        <v>11856764</v>
      </c>
      <c r="M4" t="n">
        <v>13027243</v>
      </c>
      <c r="N4" t="n">
        <v>13879416</v>
      </c>
      <c r="O4" t="n">
        <v>15233337</v>
      </c>
      <c r="P4" t="n">
        <v>16691441</v>
      </c>
      <c r="Q4" t="n">
        <v>18687149</v>
      </c>
      <c r="R4" t="n">
        <v>20364185</v>
      </c>
      <c r="S4" t="n">
        <v>21070446</v>
      </c>
      <c r="T4" t="n">
        <v>17559443</v>
      </c>
      <c r="U4" t="n">
        <v>20750493</v>
      </c>
      <c r="V4" t="n">
        <v>22471379</v>
      </c>
      <c r="W4" t="n">
        <v>22441951</v>
      </c>
      <c r="X4" t="n">
        <v>24017620</v>
      </c>
      <c r="Y4" t="n">
        <v>26176595</v>
      </c>
      <c r="Z4" t="n">
        <v>28060829</v>
      </c>
      <c r="AA4" t="n">
        <v>28558703</v>
      </c>
      <c r="AB4" t="n">
        <v>29501116</v>
      </c>
      <c r="AC4" t="n">
        <v>31305410</v>
      </c>
      <c r="AD4" t="n">
        <v>34107425</v>
      </c>
      <c r="AE4" t="n">
        <v>33565053</v>
      </c>
      <c r="AF4" t="n">
        <v>37707429</v>
      </c>
    </row>
    <row r="5">
      <c r="A5" t="s">
        <v>12</v>
      </c>
      <c r="B5" t="s">
        <v>167</v>
      </c>
      <c r="C5" t="s">
        <v>129</v>
      </c>
      <c r="D5" t="s">
        <v>168</v>
      </c>
      <c r="E5" t="s">
        <v>130</v>
      </c>
      <c r="F5"/>
      <c r="G5" t="n">
        <v>970732</v>
      </c>
      <c r="H5" t="n">
        <v>1094527</v>
      </c>
      <c r="I5" t="n">
        <v>1329618</v>
      </c>
      <c r="J5" t="n">
        <v>1420992</v>
      </c>
      <c r="K5" t="n">
        <v>1588516</v>
      </c>
      <c r="L5" t="n">
        <v>1821988</v>
      </c>
      <c r="M5" t="n">
        <v>2183718</v>
      </c>
      <c r="N5" t="n">
        <v>2201432</v>
      </c>
      <c r="O5" t="n">
        <v>2177341</v>
      </c>
      <c r="P5" t="n">
        <v>2197076</v>
      </c>
      <c r="Q5" t="n">
        <v>2274526</v>
      </c>
      <c r="R5" t="n">
        <v>2134428</v>
      </c>
      <c r="S5" t="n">
        <v>2262978</v>
      </c>
      <c r="T5" t="n">
        <v>2452701</v>
      </c>
      <c r="U5" t="n">
        <v>2421812</v>
      </c>
      <c r="V5" t="n">
        <v>2476175</v>
      </c>
      <c r="W5" t="n">
        <v>2768553</v>
      </c>
      <c r="X5" t="n">
        <v>2973769</v>
      </c>
      <c r="Y5" t="n">
        <v>3054917</v>
      </c>
      <c r="Z5" t="n">
        <v>3161508</v>
      </c>
      <c r="AA5" t="n">
        <v>3229736</v>
      </c>
      <c r="AB5" t="n">
        <v>3298341</v>
      </c>
      <c r="AC5" t="n">
        <v>3529900</v>
      </c>
      <c r="AD5" t="n">
        <v>3646853</v>
      </c>
      <c r="AE5" t="n">
        <v>3879137</v>
      </c>
      <c r="AF5" t="n">
        <v>4329222</v>
      </c>
    </row>
    <row r="6">
      <c r="A6" t="s">
        <v>12</v>
      </c>
      <c r="B6" t="s">
        <v>169</v>
      </c>
      <c r="C6" t="s">
        <v>129</v>
      </c>
      <c r="D6" t="s">
        <v>170</v>
      </c>
      <c r="E6" t="s">
        <v>130</v>
      </c>
      <c r="F6"/>
      <c r="G6" t="n">
        <v>211226</v>
      </c>
      <c r="H6" t="n">
        <v>268390</v>
      </c>
      <c r="I6" t="n">
        <v>327879</v>
      </c>
      <c r="J6" t="n">
        <v>370558</v>
      </c>
      <c r="K6" t="n">
        <v>457518</v>
      </c>
      <c r="L6" t="n">
        <v>539556</v>
      </c>
      <c r="M6" t="n">
        <v>508100</v>
      </c>
      <c r="N6" t="n">
        <v>447736</v>
      </c>
      <c r="O6" t="n">
        <v>433856</v>
      </c>
      <c r="P6" t="n">
        <v>391814</v>
      </c>
      <c r="Q6" t="n">
        <v>409491</v>
      </c>
      <c r="R6" t="n">
        <v>412714</v>
      </c>
      <c r="S6" t="n">
        <v>371123</v>
      </c>
      <c r="T6" t="n">
        <v>298633</v>
      </c>
      <c r="U6" t="n">
        <v>307545</v>
      </c>
      <c r="V6" t="n">
        <v>357752</v>
      </c>
      <c r="W6" t="n">
        <v>342947</v>
      </c>
      <c r="X6" t="n">
        <v>359181</v>
      </c>
      <c r="Y6" t="n">
        <v>392897</v>
      </c>
      <c r="Z6" t="n">
        <v>413379</v>
      </c>
      <c r="AA6" t="n">
        <v>437741</v>
      </c>
      <c r="AB6" t="n">
        <v>469169</v>
      </c>
      <c r="AC6" t="n">
        <v>465803</v>
      </c>
      <c r="AD6" t="n">
        <v>445546</v>
      </c>
      <c r="AE6" t="n">
        <v>394822</v>
      </c>
      <c r="AF6" t="n">
        <v>451161</v>
      </c>
    </row>
    <row r="7">
      <c r="A7" t="s">
        <v>12</v>
      </c>
      <c r="B7" t="s">
        <v>171</v>
      </c>
      <c r="C7" t="s">
        <v>129</v>
      </c>
      <c r="D7" t="s">
        <v>172</v>
      </c>
      <c r="E7" t="s">
        <v>130</v>
      </c>
      <c r="F7"/>
      <c r="G7" t="n">
        <v>251847</v>
      </c>
      <c r="H7" t="n">
        <v>324016</v>
      </c>
      <c r="I7" t="n">
        <v>360767</v>
      </c>
      <c r="J7" t="n">
        <v>429470</v>
      </c>
      <c r="K7" t="n">
        <v>515478</v>
      </c>
      <c r="L7" t="n">
        <v>634520</v>
      </c>
      <c r="M7" t="n">
        <v>672388</v>
      </c>
      <c r="N7" t="n">
        <v>673307</v>
      </c>
      <c r="O7" t="n">
        <v>712393</v>
      </c>
      <c r="P7" t="n">
        <v>717516</v>
      </c>
      <c r="Q7" t="n">
        <v>741131</v>
      </c>
      <c r="R7" t="n">
        <v>748036</v>
      </c>
      <c r="S7" t="n">
        <v>759555</v>
      </c>
      <c r="T7" t="n">
        <v>701938</v>
      </c>
      <c r="U7" t="n">
        <v>807251</v>
      </c>
      <c r="V7" t="n">
        <v>816071</v>
      </c>
      <c r="W7" t="n">
        <v>773284</v>
      </c>
      <c r="X7" t="n">
        <v>807381</v>
      </c>
      <c r="Y7" t="n">
        <v>867000</v>
      </c>
      <c r="Z7" t="n">
        <v>927020</v>
      </c>
      <c r="AA7" t="n">
        <v>993422</v>
      </c>
      <c r="AB7" t="n">
        <v>1040045</v>
      </c>
      <c r="AC7" t="n">
        <v>1090528</v>
      </c>
      <c r="AD7" t="n">
        <v>1155667</v>
      </c>
      <c r="AE7" t="n">
        <v>1181238</v>
      </c>
      <c r="AF7" t="n">
        <v>1332746</v>
      </c>
    </row>
    <row r="8">
      <c r="A8" t="s">
        <v>12</v>
      </c>
      <c r="B8" t="s">
        <v>173</v>
      </c>
      <c r="C8" t="s">
        <v>129</v>
      </c>
      <c r="D8" t="s">
        <v>174</v>
      </c>
      <c r="E8" t="s">
        <v>130</v>
      </c>
      <c r="F8"/>
      <c r="G8" t="n">
        <v>228921</v>
      </c>
      <c r="H8" t="n">
        <v>320585</v>
      </c>
      <c r="I8" t="n">
        <v>423743</v>
      </c>
      <c r="J8" t="n">
        <v>418624</v>
      </c>
      <c r="K8" t="n">
        <v>375500</v>
      </c>
      <c r="L8" t="n">
        <v>598666</v>
      </c>
      <c r="M8" t="n">
        <v>663494</v>
      </c>
      <c r="N8" t="n">
        <v>653857</v>
      </c>
      <c r="O8" t="n">
        <v>700329</v>
      </c>
      <c r="P8" t="n">
        <v>934892</v>
      </c>
      <c r="Q8" t="n">
        <v>1124005</v>
      </c>
      <c r="R8" t="n">
        <v>1374779</v>
      </c>
      <c r="S8" t="n">
        <v>1437805</v>
      </c>
      <c r="T8" t="n">
        <v>1379268</v>
      </c>
      <c r="U8" t="n">
        <v>1305908</v>
      </c>
      <c r="V8" t="n">
        <v>1584019</v>
      </c>
      <c r="W8" t="n">
        <v>1769082</v>
      </c>
      <c r="X8" t="n">
        <v>1925988</v>
      </c>
      <c r="Y8" t="n">
        <v>1913338</v>
      </c>
      <c r="Z8" t="n">
        <v>1646585</v>
      </c>
      <c r="AA8" t="n">
        <v>1281943</v>
      </c>
      <c r="AB8" t="n">
        <v>1259645</v>
      </c>
      <c r="AC8" t="n">
        <v>1531203</v>
      </c>
      <c r="AD8" t="n">
        <v>1710329</v>
      </c>
      <c r="AE8" t="n">
        <v>1468980</v>
      </c>
      <c r="AF8" t="n">
        <v>1292285</v>
      </c>
    </row>
    <row r="9">
      <c r="A9" t="s">
        <v>12</v>
      </c>
      <c r="B9" t="s">
        <v>175</v>
      </c>
      <c r="C9" t="s">
        <v>129</v>
      </c>
      <c r="D9" t="s">
        <v>176</v>
      </c>
      <c r="E9" t="s">
        <v>130</v>
      </c>
      <c r="F9"/>
      <c r="G9" t="n">
        <v>217178</v>
      </c>
      <c r="H9" t="n">
        <v>272592</v>
      </c>
      <c r="I9" t="n">
        <v>303817</v>
      </c>
      <c r="J9" t="n">
        <v>324236</v>
      </c>
      <c r="K9" t="n">
        <v>424351</v>
      </c>
      <c r="L9" t="n">
        <v>503874</v>
      </c>
      <c r="M9" t="n">
        <v>542128</v>
      </c>
      <c r="N9" t="n">
        <v>524543</v>
      </c>
      <c r="O9" t="n">
        <v>587074</v>
      </c>
      <c r="P9" t="n">
        <v>676531</v>
      </c>
      <c r="Q9" t="n">
        <v>763856</v>
      </c>
      <c r="R9" t="n">
        <v>888673</v>
      </c>
      <c r="S9" t="n">
        <v>906235</v>
      </c>
      <c r="T9" t="n">
        <v>754731</v>
      </c>
      <c r="U9" t="n">
        <v>821685</v>
      </c>
      <c r="V9" t="n">
        <v>1010856</v>
      </c>
      <c r="W9" t="n">
        <v>1175273</v>
      </c>
      <c r="X9" t="n">
        <v>1377889</v>
      </c>
      <c r="Y9" t="n">
        <v>1525275</v>
      </c>
      <c r="Z9" t="n">
        <v>1594228</v>
      </c>
      <c r="AA9" t="n">
        <v>1561429</v>
      </c>
      <c r="AB9" t="n">
        <v>1484263</v>
      </c>
      <c r="AC9" t="n">
        <v>1643395</v>
      </c>
      <c r="AD9" t="n">
        <v>1644606</v>
      </c>
      <c r="AE9" t="n">
        <v>1648409</v>
      </c>
      <c r="AF9" t="n">
        <v>1908537</v>
      </c>
    </row>
    <row r="10">
      <c r="A10" t="s">
        <v>12</v>
      </c>
      <c r="B10" t="s">
        <v>177</v>
      </c>
      <c r="C10" t="s">
        <v>129</v>
      </c>
      <c r="D10" t="s">
        <v>178</v>
      </c>
      <c r="E10" t="s">
        <v>130</v>
      </c>
      <c r="F10" t="n">
        <v>0</v>
      </c>
      <c r="G10" t="n">
        <v>337674</v>
      </c>
      <c r="H10" t="n">
        <v>435309</v>
      </c>
      <c r="I10" t="n">
        <v>497785</v>
      </c>
      <c r="J10" t="n">
        <v>521504</v>
      </c>
      <c r="K10" t="n">
        <v>649656</v>
      </c>
      <c r="L10" t="n">
        <v>813365</v>
      </c>
      <c r="M10" t="n">
        <v>896031</v>
      </c>
      <c r="N10" t="n">
        <v>924044</v>
      </c>
      <c r="O10" t="n">
        <v>1013566</v>
      </c>
      <c r="P10" t="n">
        <v>1140208</v>
      </c>
      <c r="Q10" t="n">
        <v>1294520</v>
      </c>
      <c r="R10" t="n">
        <v>1427711</v>
      </c>
      <c r="S10" t="n">
        <v>1495060</v>
      </c>
      <c r="T10" t="n">
        <v>1378269</v>
      </c>
      <c r="U10" t="n">
        <v>1545512</v>
      </c>
      <c r="V10" t="n">
        <v>1818699</v>
      </c>
      <c r="W10" t="n">
        <v>1999730</v>
      </c>
      <c r="X10" t="n">
        <v>2174018</v>
      </c>
      <c r="Y10" t="n">
        <v>2396255</v>
      </c>
      <c r="Z10" t="n">
        <v>2519025</v>
      </c>
      <c r="AA10" t="n">
        <v>2524185</v>
      </c>
      <c r="AB10" t="n">
        <v>2486480</v>
      </c>
      <c r="AC10" t="n">
        <v>2680923</v>
      </c>
      <c r="AD10" t="n">
        <v>2739001</v>
      </c>
      <c r="AE10" t="n">
        <v>2817142</v>
      </c>
      <c r="AF10" t="n">
        <v>3115776</v>
      </c>
    </row>
    <row r="11">
      <c r="A11" t="s">
        <v>12</v>
      </c>
      <c r="B11" t="s">
        <v>179</v>
      </c>
      <c r="C11" t="s">
        <v>129</v>
      </c>
      <c r="D11" t="s">
        <v>180</v>
      </c>
      <c r="E11" t="s">
        <v>130</v>
      </c>
      <c r="F11"/>
      <c r="G11" t="n">
        <v>120496</v>
      </c>
      <c r="H11" t="n">
        <v>162717</v>
      </c>
      <c r="I11" t="n">
        <v>193968</v>
      </c>
      <c r="J11" t="n">
        <v>197268</v>
      </c>
      <c r="K11" t="n">
        <v>225305</v>
      </c>
      <c r="L11" t="n">
        <v>309491</v>
      </c>
      <c r="M11" t="n">
        <v>353903</v>
      </c>
      <c r="N11" t="n">
        <v>399501</v>
      </c>
      <c r="O11" t="n">
        <v>426492</v>
      </c>
      <c r="P11" t="n">
        <v>463677</v>
      </c>
      <c r="Q11" t="n">
        <v>530664</v>
      </c>
      <c r="R11" t="n">
        <v>539038</v>
      </c>
      <c r="S11" t="n">
        <v>588825</v>
      </c>
      <c r="T11" t="n">
        <v>623538</v>
      </c>
      <c r="U11" t="n">
        <v>723827</v>
      </c>
      <c r="V11" t="n">
        <v>807843</v>
      </c>
      <c r="W11" t="n">
        <v>824457</v>
      </c>
      <c r="X11" t="n">
        <v>796129</v>
      </c>
      <c r="Y11" t="n">
        <v>870980</v>
      </c>
      <c r="Z11" t="n">
        <v>924797</v>
      </c>
      <c r="AA11" t="n">
        <v>962756</v>
      </c>
      <c r="AB11" t="n">
        <v>1002217</v>
      </c>
      <c r="AC11" t="n">
        <v>1037528</v>
      </c>
      <c r="AD11" t="n">
        <v>1094395</v>
      </c>
      <c r="AE11" t="n">
        <v>1168733</v>
      </c>
      <c r="AF11" t="n">
        <v>1207239</v>
      </c>
    </row>
    <row r="12">
      <c r="A12" t="s">
        <v>12</v>
      </c>
      <c r="B12" t="s">
        <v>181</v>
      </c>
      <c r="C12" t="s">
        <v>129</v>
      </c>
      <c r="D12" t="s">
        <v>182</v>
      </c>
      <c r="E12" t="s">
        <v>130</v>
      </c>
      <c r="F12"/>
      <c r="G12" t="n">
        <v>285642</v>
      </c>
      <c r="H12" t="n">
        <v>370590</v>
      </c>
      <c r="I12" t="n">
        <v>479150</v>
      </c>
      <c r="J12" t="n">
        <v>534072</v>
      </c>
      <c r="K12" t="n">
        <v>666407</v>
      </c>
      <c r="L12" t="n">
        <v>818395</v>
      </c>
      <c r="M12" t="n">
        <v>921409</v>
      </c>
      <c r="N12" t="n">
        <v>957990</v>
      </c>
      <c r="O12" t="n">
        <v>1057342</v>
      </c>
      <c r="P12" t="n">
        <v>1144611</v>
      </c>
      <c r="Q12" t="n">
        <v>1290040</v>
      </c>
      <c r="R12" t="n">
        <v>1457449</v>
      </c>
      <c r="S12" t="n">
        <v>1656628</v>
      </c>
      <c r="T12" t="n">
        <v>1288560</v>
      </c>
      <c r="U12" t="n">
        <v>1426275</v>
      </c>
      <c r="V12" t="n">
        <v>1575809</v>
      </c>
      <c r="W12" t="n">
        <v>1607499</v>
      </c>
      <c r="X12" t="n">
        <v>1702832</v>
      </c>
      <c r="Y12" t="n">
        <v>1882092</v>
      </c>
      <c r="Z12" t="n">
        <v>2134857</v>
      </c>
      <c r="AA12" t="n">
        <v>2251458</v>
      </c>
      <c r="AB12" t="n">
        <v>2388920</v>
      </c>
      <c r="AC12" t="n">
        <v>2698259</v>
      </c>
      <c r="AD12" t="n">
        <v>2848477</v>
      </c>
      <c r="AE12" t="n">
        <v>2800590</v>
      </c>
      <c r="AF12" t="n">
        <v>3319846</v>
      </c>
    </row>
    <row r="13">
      <c r="A13" t="s">
        <v>12</v>
      </c>
      <c r="B13" t="s">
        <v>183</v>
      </c>
      <c r="C13" t="s">
        <v>129</v>
      </c>
      <c r="D13" t="s">
        <v>184</v>
      </c>
      <c r="E13" t="s">
        <v>130</v>
      </c>
      <c r="F13"/>
      <c r="G13" t="n">
        <v>440717</v>
      </c>
      <c r="H13" t="n">
        <v>578349</v>
      </c>
      <c r="I13" t="n">
        <v>648429</v>
      </c>
      <c r="J13" t="n">
        <v>753761</v>
      </c>
      <c r="K13" t="n">
        <v>934851</v>
      </c>
      <c r="L13" t="n">
        <v>1048500</v>
      </c>
      <c r="M13" t="n">
        <v>1134138</v>
      </c>
      <c r="N13" t="n">
        <v>1141591</v>
      </c>
      <c r="O13" t="n">
        <v>1264588</v>
      </c>
      <c r="P13" t="n">
        <v>1425214</v>
      </c>
      <c r="Q13" t="n">
        <v>1665687</v>
      </c>
      <c r="R13" t="n">
        <v>1787552</v>
      </c>
      <c r="S13" t="n">
        <v>1863345</v>
      </c>
      <c r="T13" t="n">
        <v>1229431</v>
      </c>
      <c r="U13" t="n">
        <v>1391955</v>
      </c>
      <c r="V13" t="n">
        <v>1720648</v>
      </c>
      <c r="W13" t="n">
        <v>1728054</v>
      </c>
      <c r="X13" t="n">
        <v>1836180</v>
      </c>
      <c r="Y13" t="n">
        <v>1898798</v>
      </c>
      <c r="Z13" t="n">
        <v>2066329</v>
      </c>
      <c r="AA13" t="n">
        <v>2163717</v>
      </c>
      <c r="AB13" t="n">
        <v>2391125</v>
      </c>
      <c r="AC13" t="n">
        <v>2671552</v>
      </c>
      <c r="AD13" t="n">
        <v>2795003</v>
      </c>
      <c r="AE13" t="n">
        <v>2600773</v>
      </c>
      <c r="AF13" t="n">
        <v>3157079</v>
      </c>
    </row>
    <row r="14">
      <c r="A14" t="s">
        <v>12</v>
      </c>
      <c r="B14" t="s">
        <v>185</v>
      </c>
      <c r="C14" t="s">
        <v>129</v>
      </c>
      <c r="D14" t="s">
        <v>186</v>
      </c>
      <c r="E14" t="s">
        <v>130</v>
      </c>
      <c r="F14"/>
      <c r="G14" t="n">
        <v>248535</v>
      </c>
      <c r="H14" t="n">
        <v>621351</v>
      </c>
      <c r="I14" t="n">
        <v>1025176</v>
      </c>
      <c r="J14" t="n">
        <v>1548940</v>
      </c>
      <c r="K14" t="n">
        <v>1621844</v>
      </c>
      <c r="L14" t="n">
        <v>1785188</v>
      </c>
      <c r="M14" t="n">
        <v>1900974</v>
      </c>
      <c r="N14" t="n">
        <v>2750918</v>
      </c>
      <c r="O14" t="n">
        <v>3380751</v>
      </c>
      <c r="P14" t="n">
        <v>3619670</v>
      </c>
      <c r="Q14" t="n">
        <v>3969315</v>
      </c>
      <c r="R14" t="n">
        <v>4038372</v>
      </c>
      <c r="S14" t="n">
        <v>4047502</v>
      </c>
      <c r="T14" t="n">
        <v>3335754</v>
      </c>
      <c r="U14" t="n">
        <v>4621154</v>
      </c>
      <c r="V14" t="n">
        <v>4388931</v>
      </c>
      <c r="W14" t="n">
        <v>3333121</v>
      </c>
      <c r="X14" t="n">
        <v>2993475</v>
      </c>
      <c r="Y14" t="n">
        <v>2970151</v>
      </c>
      <c r="Z14" t="n">
        <v>3006587</v>
      </c>
      <c r="AA14" t="n">
        <v>3360404</v>
      </c>
      <c r="AB14" t="n">
        <v>3440499</v>
      </c>
      <c r="AC14" t="n">
        <v>3750274</v>
      </c>
      <c r="AD14" t="n">
        <v>4094857</v>
      </c>
      <c r="AE14" t="n">
        <v>4259543</v>
      </c>
      <c r="AF14" t="n">
        <v>4597891</v>
      </c>
    </row>
    <row r="15">
      <c r="A15" t="s">
        <v>12</v>
      </c>
      <c r="B15" t="s">
        <v>187</v>
      </c>
      <c r="C15" t="s">
        <v>129</v>
      </c>
      <c r="D15" t="s">
        <v>188</v>
      </c>
      <c r="E15" t="s">
        <v>130</v>
      </c>
      <c r="F15" t="n">
        <v>0</v>
      </c>
      <c r="G15" t="n">
        <v>445512</v>
      </c>
      <c r="H15" t="n">
        <v>859941</v>
      </c>
      <c r="I15" t="n">
        <v>1341028</v>
      </c>
      <c r="J15" t="n">
        <v>1962302</v>
      </c>
      <c r="K15" t="n">
        <v>2485645</v>
      </c>
      <c r="L15" t="n">
        <v>2771046</v>
      </c>
      <c r="M15" t="n">
        <v>3015485</v>
      </c>
      <c r="N15" t="n">
        <v>3694364</v>
      </c>
      <c r="O15" t="n">
        <v>4447595</v>
      </c>
      <c r="P15" t="n">
        <v>4819550</v>
      </c>
      <c r="Q15" t="n">
        <v>5196545</v>
      </c>
      <c r="R15" t="n">
        <v>5345336</v>
      </c>
      <c r="S15" t="n">
        <v>5441905</v>
      </c>
      <c r="T15" t="n">
        <v>4057626</v>
      </c>
      <c r="U15" t="n">
        <v>5563897</v>
      </c>
      <c r="V15" t="n">
        <v>5277654</v>
      </c>
      <c r="W15" t="n">
        <v>4225136</v>
      </c>
      <c r="X15" t="n">
        <v>3964254</v>
      </c>
      <c r="Y15" t="n">
        <v>4044981</v>
      </c>
      <c r="Z15" t="n">
        <v>4153807</v>
      </c>
      <c r="AA15" t="n">
        <v>4602176</v>
      </c>
      <c r="AB15" t="n">
        <v>4747279</v>
      </c>
      <c r="AC15" t="n">
        <v>5185183</v>
      </c>
      <c r="AD15" t="n">
        <v>5858626</v>
      </c>
      <c r="AE15" t="n">
        <v>6260901</v>
      </c>
      <c r="AF15" t="n">
        <v>7620631</v>
      </c>
    </row>
    <row r="16">
      <c r="A16" t="s">
        <v>12</v>
      </c>
      <c r="B16" t="s">
        <v>189</v>
      </c>
      <c r="C16" t="s">
        <v>129</v>
      </c>
      <c r="D16" t="s">
        <v>190</v>
      </c>
      <c r="E16" t="s">
        <v>130</v>
      </c>
      <c r="F16"/>
      <c r="G16" t="n">
        <v>196977</v>
      </c>
      <c r="H16" t="n">
        <v>238590</v>
      </c>
      <c r="I16" t="n">
        <v>315852</v>
      </c>
      <c r="J16" t="n">
        <v>413362</v>
      </c>
      <c r="K16" t="n">
        <v>863801</v>
      </c>
      <c r="L16" t="n">
        <v>985858</v>
      </c>
      <c r="M16" t="n">
        <v>1114511</v>
      </c>
      <c r="N16" t="n">
        <v>943446</v>
      </c>
      <c r="O16" t="n">
        <v>1066844</v>
      </c>
      <c r="P16" t="n">
        <v>1199880</v>
      </c>
      <c r="Q16" t="n">
        <v>1227230</v>
      </c>
      <c r="R16" t="n">
        <v>1306964</v>
      </c>
      <c r="S16" t="n">
        <v>1394403</v>
      </c>
      <c r="T16" t="n">
        <v>721872</v>
      </c>
      <c r="U16" t="n">
        <v>942743</v>
      </c>
      <c r="V16" t="n">
        <v>888723</v>
      </c>
      <c r="W16" t="n">
        <v>892015</v>
      </c>
      <c r="X16" t="n">
        <v>970779</v>
      </c>
      <c r="Y16" t="n">
        <v>1074830</v>
      </c>
      <c r="Z16" t="n">
        <v>1147220</v>
      </c>
      <c r="AA16" t="n">
        <v>1241772</v>
      </c>
      <c r="AB16" t="n">
        <v>1306780</v>
      </c>
      <c r="AC16" t="n">
        <v>1434909</v>
      </c>
      <c r="AD16" t="n">
        <v>1763769</v>
      </c>
      <c r="AE16" t="n">
        <v>2001358</v>
      </c>
      <c r="AF16" t="n">
        <v>3022740</v>
      </c>
    </row>
    <row r="17">
      <c r="A17" t="s">
        <v>12</v>
      </c>
      <c r="B17" t="s">
        <v>191</v>
      </c>
      <c r="C17" t="s">
        <v>129</v>
      </c>
      <c r="D17" t="s">
        <v>192</v>
      </c>
      <c r="E17" t="s">
        <v>130</v>
      </c>
      <c r="F17"/>
      <c r="G17" t="n">
        <v>161734</v>
      </c>
      <c r="H17" t="n">
        <v>192192</v>
      </c>
      <c r="I17" t="n">
        <v>248327</v>
      </c>
      <c r="J17" t="n">
        <v>280573</v>
      </c>
      <c r="K17" t="n">
        <v>341599</v>
      </c>
      <c r="L17" t="n">
        <v>410749</v>
      </c>
      <c r="M17" t="n">
        <v>502198</v>
      </c>
      <c r="N17" t="n">
        <v>524582</v>
      </c>
      <c r="O17" t="n">
        <v>594096</v>
      </c>
      <c r="P17" t="n">
        <v>661526</v>
      </c>
      <c r="Q17" t="n">
        <v>735397</v>
      </c>
      <c r="R17" t="n">
        <v>832122</v>
      </c>
      <c r="S17" t="n">
        <v>931599</v>
      </c>
      <c r="T17" t="n">
        <v>1228148</v>
      </c>
      <c r="U17" t="n">
        <v>1434340</v>
      </c>
      <c r="V17" t="n">
        <v>1901626</v>
      </c>
      <c r="W17" t="n">
        <v>2001736</v>
      </c>
      <c r="X17" t="n">
        <v>2056052</v>
      </c>
      <c r="Y17" t="n">
        <v>2191372</v>
      </c>
      <c r="Z17" t="n">
        <v>2224113</v>
      </c>
      <c r="AA17" t="n">
        <v>1983165</v>
      </c>
      <c r="AB17" t="n">
        <v>2059653</v>
      </c>
      <c r="AC17" t="n">
        <v>1907417</v>
      </c>
      <c r="AD17" t="n">
        <v>1913698</v>
      </c>
      <c r="AE17" t="n">
        <v>1866910</v>
      </c>
      <c r="AF17" t="n">
        <v>2208261</v>
      </c>
    </row>
    <row r="18">
      <c r="A18" t="s">
        <v>12</v>
      </c>
      <c r="B18" t="s">
        <v>193</v>
      </c>
      <c r="C18" t="s">
        <v>129</v>
      </c>
      <c r="D18" t="s">
        <v>194</v>
      </c>
      <c r="E18" t="s">
        <v>130</v>
      </c>
      <c r="F18"/>
      <c r="G18" t="n">
        <v>457565</v>
      </c>
      <c r="H18" t="n">
        <v>750229</v>
      </c>
      <c r="I18" t="n">
        <v>1152696</v>
      </c>
      <c r="J18" t="n">
        <v>1519220</v>
      </c>
      <c r="K18" t="n">
        <v>1892997</v>
      </c>
      <c r="L18" t="n">
        <v>2059838</v>
      </c>
      <c r="M18" t="n">
        <v>2124707</v>
      </c>
      <c r="N18" t="n">
        <v>2257044</v>
      </c>
      <c r="O18" t="n">
        <v>2385394</v>
      </c>
      <c r="P18" t="n">
        <v>2791294</v>
      </c>
      <c r="Q18" t="n">
        <v>3436551</v>
      </c>
      <c r="R18" t="n">
        <v>4252499</v>
      </c>
      <c r="S18" t="n">
        <v>4268411</v>
      </c>
      <c r="T18" t="n">
        <v>2963930</v>
      </c>
      <c r="U18" t="n">
        <v>3885330</v>
      </c>
      <c r="V18" t="n">
        <v>4281186</v>
      </c>
      <c r="W18" t="n">
        <v>4530041</v>
      </c>
      <c r="X18" t="n">
        <v>5471225</v>
      </c>
      <c r="Y18" t="n">
        <v>6737717</v>
      </c>
      <c r="Z18" t="n">
        <v>7917097</v>
      </c>
      <c r="AA18" t="n">
        <v>8118478</v>
      </c>
      <c r="AB18" t="n">
        <v>8305693</v>
      </c>
      <c r="AC18" t="n">
        <v>8463655</v>
      </c>
      <c r="AD18" t="n">
        <v>9779876</v>
      </c>
      <c r="AE18" t="n">
        <v>9029946</v>
      </c>
      <c r="AF18" t="n">
        <v>9407086</v>
      </c>
    </row>
    <row r="19">
      <c r="A19" t="s">
        <v>12</v>
      </c>
      <c r="B19" t="s">
        <v>195</v>
      </c>
      <c r="C19" t="s">
        <v>129</v>
      </c>
      <c r="D19" t="s">
        <v>196</v>
      </c>
      <c r="E19" t="s">
        <v>130</v>
      </c>
      <c r="F19"/>
      <c r="G19" t="n">
        <v>116880</v>
      </c>
      <c r="H19" t="n">
        <v>153637</v>
      </c>
      <c r="I19" t="n">
        <v>188183</v>
      </c>
      <c r="J19" t="n">
        <v>222606</v>
      </c>
      <c r="K19" t="n">
        <v>281302</v>
      </c>
      <c r="L19" t="n">
        <v>340141</v>
      </c>
      <c r="M19" t="n">
        <v>405575</v>
      </c>
      <c r="N19" t="n">
        <v>403469</v>
      </c>
      <c r="O19" t="n">
        <v>446837</v>
      </c>
      <c r="P19" t="n">
        <v>467740</v>
      </c>
      <c r="Q19" t="n">
        <v>519256</v>
      </c>
      <c r="R19" t="n">
        <v>591559</v>
      </c>
      <c r="S19" t="n">
        <v>582037</v>
      </c>
      <c r="T19" t="n">
        <v>580939</v>
      </c>
      <c r="U19" t="n">
        <v>660668</v>
      </c>
      <c r="V19" t="n">
        <v>661740</v>
      </c>
      <c r="W19" t="n">
        <v>695889</v>
      </c>
      <c r="X19" t="n">
        <v>746740</v>
      </c>
      <c r="Y19" t="n">
        <v>797228</v>
      </c>
      <c r="Z19" t="n">
        <v>897109</v>
      </c>
      <c r="AA19" t="n">
        <v>972682</v>
      </c>
      <c r="AB19" t="n">
        <v>1054766</v>
      </c>
      <c r="AC19" t="n">
        <v>1080987</v>
      </c>
      <c r="AD19" t="n">
        <v>1214349</v>
      </c>
      <c r="AE19" t="n">
        <v>1264614</v>
      </c>
      <c r="AF19" t="n">
        <v>1473336</v>
      </c>
    </row>
    <row r="20">
      <c r="A20" t="s">
        <v>12</v>
      </c>
      <c r="B20" t="s">
        <v>197</v>
      </c>
      <c r="C20" t="s">
        <v>129</v>
      </c>
      <c r="D20" t="s">
        <v>198</v>
      </c>
      <c r="E20" t="s">
        <v>130</v>
      </c>
      <c r="F20"/>
      <c r="G20" t="n">
        <v>396417</v>
      </c>
      <c r="H20" t="n">
        <v>491932</v>
      </c>
      <c r="I20" t="n">
        <v>642513</v>
      </c>
      <c r="J20" t="n">
        <v>713559</v>
      </c>
      <c r="K20" t="n">
        <v>628969</v>
      </c>
      <c r="L20" t="n">
        <v>654159</v>
      </c>
      <c r="M20" t="n">
        <v>780104</v>
      </c>
      <c r="N20" t="n">
        <v>804419</v>
      </c>
      <c r="O20" t="n">
        <v>941158</v>
      </c>
      <c r="P20" t="n">
        <v>983066</v>
      </c>
      <c r="Q20" t="n">
        <v>1063384</v>
      </c>
      <c r="R20" t="n">
        <v>1307464</v>
      </c>
      <c r="S20" t="n">
        <v>1420035</v>
      </c>
      <c r="T20" t="n">
        <v>1600763</v>
      </c>
      <c r="U20" t="n">
        <v>1547874</v>
      </c>
      <c r="V20" t="n">
        <v>1550638</v>
      </c>
      <c r="W20" t="n">
        <v>1537706</v>
      </c>
      <c r="X20" t="n">
        <v>1553777</v>
      </c>
      <c r="Y20" t="n">
        <v>1458156</v>
      </c>
      <c r="Z20" t="n">
        <v>1452194</v>
      </c>
      <c r="AA20" t="n">
        <v>1523837</v>
      </c>
      <c r="AB20" t="n">
        <v>1424601</v>
      </c>
      <c r="AC20" t="n">
        <v>1371672</v>
      </c>
      <c r="AD20" t="n">
        <v>1558998</v>
      </c>
      <c r="AE20" t="n">
        <v>1586303</v>
      </c>
      <c r="AF20" t="n">
        <v>1618677</v>
      </c>
    </row>
    <row r="21">
      <c r="A21" t="s">
        <v>12</v>
      </c>
      <c r="B21" t="s">
        <v>199</v>
      </c>
      <c r="C21" t="s">
        <v>129</v>
      </c>
      <c r="D21" t="s">
        <v>200</v>
      </c>
      <c r="E21" t="s">
        <v>130</v>
      </c>
      <c r="F21" t="n">
        <v>0</v>
      </c>
      <c r="G21" t="n">
        <v>485647</v>
      </c>
      <c r="H21" t="n">
        <v>603073</v>
      </c>
      <c r="I21" t="n">
        <v>799975</v>
      </c>
      <c r="J21" t="n">
        <v>912626</v>
      </c>
      <c r="K21" t="n">
        <v>857944</v>
      </c>
      <c r="L21" t="n">
        <v>913949</v>
      </c>
      <c r="M21" t="n">
        <v>1081441</v>
      </c>
      <c r="N21" t="n">
        <v>1113689</v>
      </c>
      <c r="O21" t="n">
        <v>1298635</v>
      </c>
      <c r="P21" t="n">
        <v>1390193</v>
      </c>
      <c r="Q21" t="n">
        <v>1515768</v>
      </c>
      <c r="R21" t="n">
        <v>1782119</v>
      </c>
      <c r="S21" t="n">
        <v>1906485</v>
      </c>
      <c r="T21" t="n">
        <v>2139307</v>
      </c>
      <c r="U21" t="n">
        <v>2104067</v>
      </c>
      <c r="V21" t="n">
        <v>2141221</v>
      </c>
      <c r="W21" t="n">
        <v>2131976</v>
      </c>
      <c r="X21" t="n">
        <v>2169826</v>
      </c>
      <c r="Y21" t="n">
        <v>2089136</v>
      </c>
      <c r="Z21" t="n">
        <v>2093845</v>
      </c>
      <c r="AA21" t="n">
        <v>2211476</v>
      </c>
      <c r="AB21" t="n">
        <v>2142809</v>
      </c>
      <c r="AC21" t="n">
        <v>2082750</v>
      </c>
      <c r="AD21" t="n">
        <v>2316976</v>
      </c>
      <c r="AE21" t="n">
        <v>2354506</v>
      </c>
      <c r="AF21" t="n">
        <v>2314047</v>
      </c>
    </row>
    <row r="22">
      <c r="A22" t="s">
        <v>12</v>
      </c>
      <c r="B22" t="s">
        <v>201</v>
      </c>
      <c r="C22" t="s">
        <v>129</v>
      </c>
      <c r="D22" t="s">
        <v>202</v>
      </c>
      <c r="E22" t="s">
        <v>130</v>
      </c>
      <c r="F22"/>
      <c r="G22" t="n">
        <v>89230</v>
      </c>
      <c r="H22" t="n">
        <v>111141</v>
      </c>
      <c r="I22" t="n">
        <v>157462</v>
      </c>
      <c r="J22" t="n">
        <v>199067</v>
      </c>
      <c r="K22" t="n">
        <v>228975</v>
      </c>
      <c r="L22" t="n">
        <v>259790</v>
      </c>
      <c r="M22" t="n">
        <v>301337</v>
      </c>
      <c r="N22" t="n">
        <v>309270</v>
      </c>
      <c r="O22" t="n">
        <v>357477</v>
      </c>
      <c r="P22" t="n">
        <v>407127</v>
      </c>
      <c r="Q22" t="n">
        <v>452384</v>
      </c>
      <c r="R22" t="n">
        <v>474655</v>
      </c>
      <c r="S22" t="n">
        <v>486450</v>
      </c>
      <c r="T22" t="n">
        <v>538544</v>
      </c>
      <c r="U22" t="n">
        <v>556193</v>
      </c>
      <c r="V22" t="n">
        <v>590583</v>
      </c>
      <c r="W22" t="n">
        <v>594270</v>
      </c>
      <c r="X22" t="n">
        <v>616049</v>
      </c>
      <c r="Y22" t="n">
        <v>630980</v>
      </c>
      <c r="Z22" t="n">
        <v>641651</v>
      </c>
      <c r="AA22" t="n">
        <v>687639</v>
      </c>
      <c r="AB22" t="n">
        <v>718208</v>
      </c>
      <c r="AC22" t="n">
        <v>711078</v>
      </c>
      <c r="AD22" t="n">
        <v>757978</v>
      </c>
      <c r="AE22" t="n">
        <v>768203</v>
      </c>
      <c r="AF22" t="n">
        <v>695370</v>
      </c>
    </row>
    <row r="23">
      <c r="A23" t="s">
        <v>12</v>
      </c>
      <c r="B23" t="s">
        <v>203</v>
      </c>
      <c r="C23" t="s">
        <v>129</v>
      </c>
      <c r="D23" t="s">
        <v>204</v>
      </c>
      <c r="E23" t="s">
        <v>130</v>
      </c>
      <c r="F23"/>
      <c r="G23" t="n">
        <v>619063</v>
      </c>
      <c r="H23" t="n">
        <v>800105</v>
      </c>
      <c r="I23" t="n">
        <v>956399</v>
      </c>
      <c r="J23" t="n">
        <v>1104923</v>
      </c>
      <c r="K23" t="n">
        <v>1315270</v>
      </c>
      <c r="L23" t="n">
        <v>1661870</v>
      </c>
      <c r="M23" t="n">
        <v>2085842</v>
      </c>
      <c r="N23" t="n">
        <v>2133905</v>
      </c>
      <c r="O23" t="n">
        <v>2369704</v>
      </c>
      <c r="P23" t="n">
        <v>2697250</v>
      </c>
      <c r="Q23" t="n">
        <v>2786665</v>
      </c>
      <c r="R23" t="n">
        <v>2645185</v>
      </c>
      <c r="S23" t="n">
        <v>2798741</v>
      </c>
      <c r="T23" t="n">
        <v>2815721</v>
      </c>
      <c r="U23" t="n">
        <v>2487830</v>
      </c>
      <c r="V23" t="n">
        <v>2376663</v>
      </c>
      <c r="W23" t="n">
        <v>2261836</v>
      </c>
      <c r="X23" t="n">
        <v>2596226</v>
      </c>
      <c r="Y23" t="n">
        <v>2991828</v>
      </c>
      <c r="Z23" t="n">
        <v>3170386</v>
      </c>
      <c r="AA23" t="n">
        <v>2832459</v>
      </c>
      <c r="AB23" t="n">
        <v>3604717</v>
      </c>
      <c r="AC23" t="n">
        <v>4589649</v>
      </c>
      <c r="AD23" t="n">
        <v>5733866</v>
      </c>
      <c r="AE23" t="n">
        <v>6107655</v>
      </c>
      <c r="AF23" t="n">
        <v>7059337</v>
      </c>
    </row>
    <row r="24">
      <c r="A24" t="s">
        <v>12</v>
      </c>
      <c r="B24" t="s">
        <v>205</v>
      </c>
      <c r="C24" t="s">
        <v>129</v>
      </c>
      <c r="D24" t="s">
        <v>206</v>
      </c>
      <c r="E24" t="s">
        <v>130</v>
      </c>
      <c r="F24" t="n">
        <v>0</v>
      </c>
      <c r="G24" t="n">
        <v>1037343</v>
      </c>
      <c r="H24" t="n">
        <v>1336564</v>
      </c>
      <c r="I24" t="n">
        <v>1767049</v>
      </c>
      <c r="J24" t="n">
        <v>1982817</v>
      </c>
      <c r="K24" t="n">
        <v>2310555</v>
      </c>
      <c r="L24" t="n">
        <v>2808259</v>
      </c>
      <c r="M24" t="n">
        <v>3365787</v>
      </c>
      <c r="N24" t="n">
        <v>3480455</v>
      </c>
      <c r="O24" t="n">
        <v>3673668</v>
      </c>
      <c r="P24" t="n">
        <v>4183946</v>
      </c>
      <c r="Q24" t="n">
        <v>4491175</v>
      </c>
      <c r="R24" t="n">
        <v>4594201</v>
      </c>
      <c r="S24" t="n">
        <v>5113078</v>
      </c>
      <c r="T24" t="n">
        <v>4878247</v>
      </c>
      <c r="U24" t="n">
        <v>4881496</v>
      </c>
      <c r="V24" t="n">
        <v>5061606</v>
      </c>
      <c r="W24" t="n">
        <v>5072048</v>
      </c>
      <c r="X24" t="n">
        <v>5602449</v>
      </c>
      <c r="Y24" t="n">
        <v>5961097</v>
      </c>
      <c r="Z24" t="n">
        <v>6185047</v>
      </c>
      <c r="AA24" t="n">
        <v>6488249</v>
      </c>
      <c r="AB24" t="n">
        <v>6837578</v>
      </c>
      <c r="AC24" t="n">
        <v>7627551</v>
      </c>
      <c r="AD24" t="n">
        <v>8168742</v>
      </c>
      <c r="AE24" t="n">
        <v>8540933</v>
      </c>
      <c r="AF24" t="n">
        <v>9621442</v>
      </c>
    </row>
    <row r="25">
      <c r="A25" t="s">
        <v>12</v>
      </c>
      <c r="B25" t="s">
        <v>207</v>
      </c>
      <c r="C25" t="s">
        <v>129</v>
      </c>
      <c r="D25" t="s">
        <v>208</v>
      </c>
      <c r="E25" t="s">
        <v>130</v>
      </c>
      <c r="F25"/>
      <c r="G25" t="n">
        <v>114604</v>
      </c>
      <c r="H25" t="n">
        <v>144736</v>
      </c>
      <c r="I25" t="n">
        <v>220463</v>
      </c>
      <c r="J25" t="n">
        <v>243822</v>
      </c>
      <c r="K25" t="n">
        <v>301975</v>
      </c>
      <c r="L25" t="n">
        <v>374425</v>
      </c>
      <c r="M25" t="n">
        <v>469335</v>
      </c>
      <c r="N25" t="n">
        <v>474676</v>
      </c>
      <c r="O25" t="n">
        <v>506899</v>
      </c>
      <c r="P25" t="n">
        <v>546282</v>
      </c>
      <c r="Q25" t="n">
        <v>567148</v>
      </c>
      <c r="R25" t="n">
        <v>616879</v>
      </c>
      <c r="S25" t="n">
        <v>693086</v>
      </c>
      <c r="T25" t="n">
        <v>634840</v>
      </c>
      <c r="U25" t="n">
        <v>545382</v>
      </c>
      <c r="V25" t="n">
        <v>581137</v>
      </c>
      <c r="W25" t="n">
        <v>581735</v>
      </c>
      <c r="X25" t="n">
        <v>629981</v>
      </c>
      <c r="Y25" t="n">
        <v>646022</v>
      </c>
      <c r="Z25" t="n">
        <v>678133</v>
      </c>
      <c r="AA25" t="n">
        <v>729443</v>
      </c>
      <c r="AB25" t="n">
        <v>815149</v>
      </c>
      <c r="AC25" t="n">
        <v>948076</v>
      </c>
      <c r="AD25" t="n">
        <v>1023763</v>
      </c>
      <c r="AE25" t="n">
        <v>975661</v>
      </c>
      <c r="AF25" t="n">
        <v>1094943</v>
      </c>
    </row>
    <row r="26">
      <c r="A26" t="s">
        <v>12</v>
      </c>
      <c r="B26" t="s">
        <v>209</v>
      </c>
      <c r="C26" t="s">
        <v>129</v>
      </c>
      <c r="D26" t="s">
        <v>210</v>
      </c>
      <c r="E26" t="s">
        <v>130</v>
      </c>
      <c r="F26"/>
      <c r="G26" t="n">
        <v>545068</v>
      </c>
      <c r="H26" t="n">
        <v>705402</v>
      </c>
      <c r="I26" t="n">
        <v>897442</v>
      </c>
      <c r="J26" t="n">
        <v>1031147</v>
      </c>
      <c r="K26" t="n">
        <v>1186988</v>
      </c>
      <c r="L26" t="n">
        <v>1458968</v>
      </c>
      <c r="M26" t="n">
        <v>1715464</v>
      </c>
      <c r="N26" t="n">
        <v>1736903</v>
      </c>
      <c r="O26" t="n">
        <v>1829435</v>
      </c>
      <c r="P26" t="n">
        <v>2147320</v>
      </c>
      <c r="Q26" t="n">
        <v>2353860</v>
      </c>
      <c r="R26" t="n">
        <v>2394540</v>
      </c>
      <c r="S26" t="n">
        <v>2629356</v>
      </c>
      <c r="T26" t="n">
        <v>2455295</v>
      </c>
      <c r="U26" t="n">
        <v>2623656</v>
      </c>
      <c r="V26" t="n">
        <v>2711202</v>
      </c>
      <c r="W26" t="n">
        <v>2678986</v>
      </c>
      <c r="X26" t="n">
        <v>2976111</v>
      </c>
      <c r="Y26" t="n">
        <v>3131169</v>
      </c>
      <c r="Z26" t="n">
        <v>3205124</v>
      </c>
      <c r="AA26" t="n">
        <v>3292242</v>
      </c>
      <c r="AB26" t="n">
        <v>3372533</v>
      </c>
      <c r="AC26" t="n">
        <v>3769676</v>
      </c>
      <c r="AD26" t="n">
        <v>3963474</v>
      </c>
      <c r="AE26" t="n">
        <v>4281069</v>
      </c>
      <c r="AF26" t="n">
        <v>4939732</v>
      </c>
    </row>
    <row r="27">
      <c r="A27" t="s">
        <v>12</v>
      </c>
      <c r="B27" t="s">
        <v>211</v>
      </c>
      <c r="C27" t="s">
        <v>129</v>
      </c>
      <c r="D27" t="s">
        <v>212</v>
      </c>
      <c r="E27" t="s">
        <v>130</v>
      </c>
      <c r="F27"/>
      <c r="G27" t="n">
        <v>377671</v>
      </c>
      <c r="H27" t="n">
        <v>486426</v>
      </c>
      <c r="I27" t="n">
        <v>649144</v>
      </c>
      <c r="J27" t="n">
        <v>707848</v>
      </c>
      <c r="K27" t="n">
        <v>821592</v>
      </c>
      <c r="L27" t="n">
        <v>974866</v>
      </c>
      <c r="M27" t="n">
        <v>1180988</v>
      </c>
      <c r="N27" t="n">
        <v>1268876</v>
      </c>
      <c r="O27" t="n">
        <v>1337334</v>
      </c>
      <c r="P27" t="n">
        <v>1490344</v>
      </c>
      <c r="Q27" t="n">
        <v>1570167</v>
      </c>
      <c r="R27" t="n">
        <v>1582782</v>
      </c>
      <c r="S27" t="n">
        <v>1790636</v>
      </c>
      <c r="T27" t="n">
        <v>1788112</v>
      </c>
      <c r="U27" t="n">
        <v>1712458</v>
      </c>
      <c r="V27" t="n">
        <v>1769267</v>
      </c>
      <c r="W27" t="n">
        <v>1811327</v>
      </c>
      <c r="X27" t="n">
        <v>1996357</v>
      </c>
      <c r="Y27" t="n">
        <v>2183906</v>
      </c>
      <c r="Z27" t="n">
        <v>2301790</v>
      </c>
      <c r="AA27" t="n">
        <v>2466564</v>
      </c>
      <c r="AB27" t="n">
        <v>2649896</v>
      </c>
      <c r="AC27" t="n">
        <v>2909799</v>
      </c>
      <c r="AD27" t="n">
        <v>3181505</v>
      </c>
      <c r="AE27" t="n">
        <v>3284203</v>
      </c>
      <c r="AF27" t="n">
        <v>3586767</v>
      </c>
    </row>
    <row r="28">
      <c r="A28" t="s">
        <v>12</v>
      </c>
      <c r="B28" t="s">
        <v>213</v>
      </c>
      <c r="C28" t="s">
        <v>129</v>
      </c>
      <c r="D28" t="s">
        <v>214</v>
      </c>
      <c r="E28" t="s">
        <v>130</v>
      </c>
      <c r="F28" t="n">
        <v>0</v>
      </c>
      <c r="G28" t="n">
        <v>587771</v>
      </c>
      <c r="H28" t="n">
        <v>766237</v>
      </c>
      <c r="I28" t="n">
        <v>915982</v>
      </c>
      <c r="J28" t="n">
        <v>1103642</v>
      </c>
      <c r="K28" t="n">
        <v>1259858</v>
      </c>
      <c r="L28" t="n">
        <v>1472043</v>
      </c>
      <c r="M28" t="n">
        <v>1634253</v>
      </c>
      <c r="N28" t="n">
        <v>1618019</v>
      </c>
      <c r="O28" t="n">
        <v>1812616</v>
      </c>
      <c r="P28" t="n">
        <v>1988602</v>
      </c>
      <c r="Q28" t="n">
        <v>2284638</v>
      </c>
      <c r="R28" t="n">
        <v>2525701</v>
      </c>
      <c r="S28" t="n">
        <v>2810316</v>
      </c>
      <c r="T28" t="n">
        <v>2857616</v>
      </c>
      <c r="U28" t="n">
        <v>2859895</v>
      </c>
      <c r="V28" t="n">
        <v>3073724</v>
      </c>
      <c r="W28" t="n">
        <v>3312614</v>
      </c>
      <c r="X28" t="n">
        <v>3473299</v>
      </c>
      <c r="Y28" t="n">
        <v>3768219</v>
      </c>
      <c r="Z28" t="n">
        <v>3978746</v>
      </c>
      <c r="AA28" t="n">
        <v>4162726</v>
      </c>
      <c r="AB28" t="n">
        <v>4344568</v>
      </c>
      <c r="AC28" t="n">
        <v>4811022</v>
      </c>
      <c r="AD28" t="n">
        <v>5211864</v>
      </c>
      <c r="AE28" t="n">
        <v>4969278</v>
      </c>
      <c r="AF28" t="n">
        <v>5320485</v>
      </c>
    </row>
    <row r="29">
      <c r="A29" t="s">
        <v>12</v>
      </c>
      <c r="B29" t="s">
        <v>215</v>
      </c>
      <c r="C29" t="s">
        <v>129</v>
      </c>
      <c r="D29" t="s">
        <v>216</v>
      </c>
      <c r="E29" t="s">
        <v>130</v>
      </c>
      <c r="F29"/>
      <c r="G29" t="n">
        <v>400898</v>
      </c>
      <c r="H29" t="n">
        <v>528081</v>
      </c>
      <c r="I29" t="n">
        <v>635941</v>
      </c>
      <c r="J29" t="n">
        <v>744196</v>
      </c>
      <c r="K29" t="n">
        <v>834956</v>
      </c>
      <c r="L29" t="n">
        <v>939387</v>
      </c>
      <c r="M29" t="n">
        <v>1058389</v>
      </c>
      <c r="N29" t="n">
        <v>1042993</v>
      </c>
      <c r="O29" t="n">
        <v>1156737</v>
      </c>
      <c r="P29" t="n">
        <v>1244030</v>
      </c>
      <c r="Q29" t="n">
        <v>1420163</v>
      </c>
      <c r="R29" t="n">
        <v>1575105</v>
      </c>
      <c r="S29" t="n">
        <v>1593148</v>
      </c>
      <c r="T29" t="n">
        <v>1565970</v>
      </c>
      <c r="U29" t="n">
        <v>1551904</v>
      </c>
      <c r="V29" t="n">
        <v>1700609</v>
      </c>
      <c r="W29" t="n">
        <v>1801845</v>
      </c>
      <c r="X29" t="n">
        <v>1957131</v>
      </c>
      <c r="Y29" t="n">
        <v>2040534</v>
      </c>
      <c r="Z29" t="n">
        <v>2139527</v>
      </c>
      <c r="AA29" t="n">
        <v>2261519</v>
      </c>
      <c r="AB29" t="n">
        <v>2355673</v>
      </c>
      <c r="AC29" t="n">
        <v>2637900</v>
      </c>
      <c r="AD29" t="n">
        <v>2741864</v>
      </c>
      <c r="AE29" t="n">
        <v>2837767</v>
      </c>
      <c r="AF29" t="n">
        <v>2936855</v>
      </c>
    </row>
    <row r="30">
      <c r="A30" t="s">
        <v>12</v>
      </c>
      <c r="B30" t="s">
        <v>217</v>
      </c>
      <c r="C30" t="s">
        <v>129</v>
      </c>
      <c r="D30" t="s">
        <v>218</v>
      </c>
      <c r="E30" t="s">
        <v>130</v>
      </c>
      <c r="F30"/>
      <c r="G30" t="n">
        <v>11890</v>
      </c>
      <c r="H30" t="n">
        <v>6486</v>
      </c>
      <c r="I30" t="n">
        <v>6682</v>
      </c>
      <c r="J30" t="n">
        <v>6879</v>
      </c>
      <c r="K30" t="n">
        <v>8270</v>
      </c>
      <c r="L30" t="n">
        <v>10203</v>
      </c>
      <c r="M30" t="n">
        <v>10412</v>
      </c>
      <c r="N30" t="n">
        <v>10772</v>
      </c>
      <c r="O30" t="n">
        <v>9836</v>
      </c>
      <c r="P30" t="n">
        <v>12720</v>
      </c>
      <c r="Q30" t="n">
        <v>12833</v>
      </c>
      <c r="R30" t="n">
        <v>13068</v>
      </c>
      <c r="S30" t="n">
        <v>15929</v>
      </c>
      <c r="T30" t="n">
        <v>21194</v>
      </c>
      <c r="U30" t="n">
        <v>19434</v>
      </c>
      <c r="V30" t="n">
        <v>17366</v>
      </c>
      <c r="W30" t="n">
        <v>20564</v>
      </c>
      <c r="X30" t="n">
        <v>20037</v>
      </c>
      <c r="Y30" t="n">
        <v>20985</v>
      </c>
      <c r="Z30" t="n">
        <v>22364</v>
      </c>
      <c r="AA30" t="n">
        <v>20402</v>
      </c>
      <c r="AB30" t="n">
        <v>22094</v>
      </c>
      <c r="AC30" t="n">
        <v>22951</v>
      </c>
      <c r="AD30" t="n">
        <v>28523</v>
      </c>
      <c r="AE30" t="n">
        <v>26745</v>
      </c>
      <c r="AF30" t="n">
        <v>25235</v>
      </c>
    </row>
    <row r="31">
      <c r="A31" t="s">
        <v>12</v>
      </c>
      <c r="B31" t="s">
        <v>219</v>
      </c>
      <c r="C31" t="s">
        <v>129</v>
      </c>
      <c r="D31" t="s">
        <v>220</v>
      </c>
      <c r="E31" t="s">
        <v>130</v>
      </c>
      <c r="F31"/>
      <c r="G31" t="n">
        <v>43814</v>
      </c>
      <c r="H31" t="n">
        <v>55931</v>
      </c>
      <c r="I31" t="n">
        <v>57758</v>
      </c>
      <c r="J31" t="n">
        <v>81362</v>
      </c>
      <c r="K31" t="n">
        <v>97912</v>
      </c>
      <c r="L31" t="n">
        <v>104894</v>
      </c>
      <c r="M31" t="n">
        <v>102849</v>
      </c>
      <c r="N31" t="n">
        <v>112722</v>
      </c>
      <c r="O31" t="n">
        <v>138961</v>
      </c>
      <c r="P31" t="n">
        <v>159027</v>
      </c>
      <c r="Q31" t="n">
        <v>175850</v>
      </c>
      <c r="R31" t="n">
        <v>201660</v>
      </c>
      <c r="S31" t="n">
        <v>197750</v>
      </c>
      <c r="T31" t="n">
        <v>240093</v>
      </c>
      <c r="U31" t="n">
        <v>227070</v>
      </c>
      <c r="V31" t="n">
        <v>255541</v>
      </c>
      <c r="W31" t="n">
        <v>220543</v>
      </c>
      <c r="X31" t="n">
        <v>229624</v>
      </c>
      <c r="Y31" t="n">
        <v>297810</v>
      </c>
      <c r="Z31" t="n">
        <v>401991</v>
      </c>
      <c r="AA31" t="n">
        <v>466866</v>
      </c>
      <c r="AB31" t="n">
        <v>527252</v>
      </c>
      <c r="AC31" t="n">
        <v>599770</v>
      </c>
      <c r="AD31" t="n">
        <v>741028</v>
      </c>
      <c r="AE31" t="n">
        <v>362981</v>
      </c>
      <c r="AF31" t="n">
        <v>411998</v>
      </c>
    </row>
    <row r="32">
      <c r="A32" t="s">
        <v>12</v>
      </c>
      <c r="B32" t="s">
        <v>221</v>
      </c>
      <c r="C32" t="s">
        <v>129</v>
      </c>
      <c r="D32" t="s">
        <v>222</v>
      </c>
      <c r="E32" t="s">
        <v>130</v>
      </c>
      <c r="F32"/>
      <c r="G32" t="n">
        <v>83253</v>
      </c>
      <c r="H32" t="n">
        <v>117258</v>
      </c>
      <c r="I32" t="n">
        <v>142961</v>
      </c>
      <c r="J32" t="n">
        <v>188432</v>
      </c>
      <c r="K32" t="n">
        <v>219907</v>
      </c>
      <c r="L32" t="n">
        <v>268908</v>
      </c>
      <c r="M32" t="n">
        <v>289959</v>
      </c>
      <c r="N32" t="n">
        <v>305506</v>
      </c>
      <c r="O32" t="n">
        <v>345012</v>
      </c>
      <c r="P32" t="n">
        <v>394748</v>
      </c>
      <c r="Q32" t="n">
        <v>480712</v>
      </c>
      <c r="R32" t="n">
        <v>540222</v>
      </c>
      <c r="S32" t="n">
        <v>792582</v>
      </c>
      <c r="T32" t="n">
        <v>835415</v>
      </c>
      <c r="U32" t="n">
        <v>860934</v>
      </c>
      <c r="V32" t="n">
        <v>899254</v>
      </c>
      <c r="W32" t="n">
        <v>1066416</v>
      </c>
      <c r="X32" t="n">
        <v>1061343</v>
      </c>
      <c r="Y32" t="n">
        <v>1190303</v>
      </c>
      <c r="Z32" t="n">
        <v>1189964</v>
      </c>
      <c r="AA32" t="n">
        <v>1177749</v>
      </c>
      <c r="AB32" t="n">
        <v>1205670</v>
      </c>
      <c r="AC32" t="n">
        <v>1291137</v>
      </c>
      <c r="AD32" t="n">
        <v>1420836</v>
      </c>
      <c r="AE32" t="n">
        <v>1430298</v>
      </c>
      <c r="AF32" t="n">
        <v>1523253</v>
      </c>
    </row>
    <row r="33">
      <c r="A33" t="s">
        <v>12</v>
      </c>
      <c r="B33" t="s">
        <v>223</v>
      </c>
      <c r="C33" t="s">
        <v>129</v>
      </c>
      <c r="D33" t="s">
        <v>224</v>
      </c>
      <c r="E33" t="s">
        <v>130</v>
      </c>
      <c r="F33"/>
      <c r="G33" t="n">
        <v>47916</v>
      </c>
      <c r="H33" t="n">
        <v>58481</v>
      </c>
      <c r="I33" t="n">
        <v>72640</v>
      </c>
      <c r="J33" t="n">
        <v>82773</v>
      </c>
      <c r="K33" t="n">
        <v>98813</v>
      </c>
      <c r="L33" t="n">
        <v>148651</v>
      </c>
      <c r="M33" t="n">
        <v>172644</v>
      </c>
      <c r="N33" t="n">
        <v>146026</v>
      </c>
      <c r="O33" t="n">
        <v>162070</v>
      </c>
      <c r="P33" t="n">
        <v>178077</v>
      </c>
      <c r="Q33" t="n">
        <v>195080</v>
      </c>
      <c r="R33" t="n">
        <v>195646</v>
      </c>
      <c r="S33" t="n">
        <v>210907</v>
      </c>
      <c r="T33" t="n">
        <v>194944</v>
      </c>
      <c r="U33" t="n">
        <v>200553</v>
      </c>
      <c r="V33" t="n">
        <v>200954</v>
      </c>
      <c r="W33" t="n">
        <v>203246</v>
      </c>
      <c r="X33" t="n">
        <v>205164</v>
      </c>
      <c r="Y33" t="n">
        <v>218587</v>
      </c>
      <c r="Z33" t="n">
        <v>224900</v>
      </c>
      <c r="AA33" t="n">
        <v>236190</v>
      </c>
      <c r="AB33" t="n">
        <v>233879</v>
      </c>
      <c r="AC33" t="n">
        <v>259264</v>
      </c>
      <c r="AD33" t="n">
        <v>279613</v>
      </c>
      <c r="AE33" t="n">
        <v>311487</v>
      </c>
      <c r="AF33" t="n">
        <v>423144</v>
      </c>
    </row>
    <row r="34">
      <c r="A34" t="s">
        <v>12</v>
      </c>
      <c r="B34" t="s">
        <v>225</v>
      </c>
      <c r="C34" t="s">
        <v>129</v>
      </c>
      <c r="D34" t="s">
        <v>226</v>
      </c>
      <c r="E34" t="s">
        <v>130</v>
      </c>
      <c r="F34"/>
      <c r="G34" t="n">
        <v>261563</v>
      </c>
      <c r="H34" t="n">
        <v>305292</v>
      </c>
      <c r="I34" t="n">
        <v>384526</v>
      </c>
      <c r="J34" t="n">
        <v>436791</v>
      </c>
      <c r="K34" t="n">
        <v>497112</v>
      </c>
      <c r="L34" t="n">
        <v>589074</v>
      </c>
      <c r="M34" t="n">
        <v>682577</v>
      </c>
      <c r="N34" t="n">
        <v>687344</v>
      </c>
      <c r="O34" t="n">
        <v>808723</v>
      </c>
      <c r="P34" t="n">
        <v>868706</v>
      </c>
      <c r="Q34" t="n">
        <v>919223</v>
      </c>
      <c r="R34" t="n">
        <v>971467</v>
      </c>
      <c r="S34" t="n">
        <v>1063025</v>
      </c>
      <c r="T34" t="n">
        <v>1052908</v>
      </c>
      <c r="U34" t="n">
        <v>1061786</v>
      </c>
      <c r="V34" t="n">
        <v>1092062</v>
      </c>
      <c r="W34" t="n">
        <v>1082378</v>
      </c>
      <c r="X34" t="n">
        <v>1101787</v>
      </c>
      <c r="Y34" t="n">
        <v>1212839</v>
      </c>
      <c r="Z34" t="n">
        <v>1322109</v>
      </c>
      <c r="AA34" t="n">
        <v>1404316</v>
      </c>
      <c r="AB34" t="n">
        <v>1536149</v>
      </c>
      <c r="AC34" t="n">
        <v>1720584</v>
      </c>
      <c r="AD34" t="n">
        <v>1894251</v>
      </c>
      <c r="AE34" t="n">
        <v>1371274</v>
      </c>
      <c r="AF34" t="n">
        <v>1868509</v>
      </c>
    </row>
    <row r="35">
      <c r="A35" t="s">
        <v>12</v>
      </c>
      <c r="B35" t="s">
        <v>227</v>
      </c>
      <c r="C35" t="s">
        <v>129</v>
      </c>
      <c r="D35" t="s">
        <v>228</v>
      </c>
      <c r="E35" t="s">
        <v>130</v>
      </c>
      <c r="F35" t="n">
        <v>0</v>
      </c>
      <c r="G35" t="n">
        <v>389509</v>
      </c>
      <c r="H35" t="n">
        <v>555363</v>
      </c>
      <c r="I35" t="n">
        <v>695229</v>
      </c>
      <c r="J35" t="n">
        <v>850582</v>
      </c>
      <c r="K35" t="n">
        <v>1084889</v>
      </c>
      <c r="L35" t="n">
        <v>1242830</v>
      </c>
      <c r="M35" t="n">
        <v>1452341</v>
      </c>
      <c r="N35" t="n">
        <v>1560135</v>
      </c>
      <c r="O35" t="n">
        <v>1680160</v>
      </c>
      <c r="P35" t="n">
        <v>1823471</v>
      </c>
      <c r="Q35" t="n">
        <v>1944915</v>
      </c>
      <c r="R35" t="n">
        <v>2055519</v>
      </c>
      <c r="S35" t="n">
        <v>2124875</v>
      </c>
      <c r="T35" t="n">
        <v>2316750</v>
      </c>
      <c r="U35" t="n">
        <v>2185457</v>
      </c>
      <c r="V35" t="n">
        <v>2241311</v>
      </c>
      <c r="W35" t="n">
        <v>2269009</v>
      </c>
      <c r="X35" t="n">
        <v>2365447</v>
      </c>
      <c r="Y35" t="n">
        <v>2464136</v>
      </c>
      <c r="Z35" t="n">
        <v>2516258</v>
      </c>
      <c r="AA35" t="n">
        <v>2691603</v>
      </c>
      <c r="AB35" t="n">
        <v>2971512</v>
      </c>
      <c r="AC35" t="n">
        <v>3207895</v>
      </c>
      <c r="AD35" t="n">
        <v>3441271</v>
      </c>
      <c r="AE35" t="n">
        <v>3502803</v>
      </c>
      <c r="AF35" t="n">
        <v>4291822</v>
      </c>
    </row>
    <row r="36">
      <c r="A36" t="s">
        <v>12</v>
      </c>
      <c r="B36" t="s">
        <v>229</v>
      </c>
      <c r="C36" t="s">
        <v>129</v>
      </c>
      <c r="D36" t="s">
        <v>230</v>
      </c>
      <c r="E36" t="s">
        <v>130</v>
      </c>
      <c r="F36"/>
      <c r="G36" t="n">
        <v>121139</v>
      </c>
      <c r="H36" t="n">
        <v>178805</v>
      </c>
      <c r="I36" t="n">
        <v>200635</v>
      </c>
      <c r="J36" t="n">
        <v>245564</v>
      </c>
      <c r="K36" t="n">
        <v>317059</v>
      </c>
      <c r="L36" t="n">
        <v>388876</v>
      </c>
      <c r="M36" t="n">
        <v>486114</v>
      </c>
      <c r="N36" t="n">
        <v>504228</v>
      </c>
      <c r="O36" t="n">
        <v>514140</v>
      </c>
      <c r="P36" t="n">
        <v>548529</v>
      </c>
      <c r="Q36" t="n">
        <v>580811</v>
      </c>
      <c r="R36" t="n">
        <v>624673</v>
      </c>
      <c r="S36" t="n">
        <v>595096</v>
      </c>
      <c r="T36" t="n">
        <v>662881</v>
      </c>
      <c r="U36" t="n">
        <v>673729</v>
      </c>
      <c r="V36" t="n">
        <v>696872</v>
      </c>
      <c r="W36" t="n">
        <v>738071</v>
      </c>
      <c r="X36" t="n">
        <v>746644</v>
      </c>
      <c r="Y36" t="n">
        <v>722953</v>
      </c>
      <c r="Z36" t="n">
        <v>659166</v>
      </c>
      <c r="AA36" t="n">
        <v>706150</v>
      </c>
      <c r="AB36" t="n">
        <v>815291</v>
      </c>
      <c r="AC36" t="n">
        <v>848973</v>
      </c>
      <c r="AD36" t="n">
        <v>854262</v>
      </c>
      <c r="AE36" t="n">
        <v>783188</v>
      </c>
      <c r="AF36" t="n">
        <v>998971</v>
      </c>
    </row>
    <row r="37">
      <c r="A37" t="s">
        <v>12</v>
      </c>
      <c r="B37" t="s">
        <v>231</v>
      </c>
      <c r="C37" t="s">
        <v>129</v>
      </c>
      <c r="D37" t="s">
        <v>232</v>
      </c>
      <c r="E37" t="s">
        <v>130</v>
      </c>
      <c r="F37"/>
      <c r="G37" t="n">
        <v>202359</v>
      </c>
      <c r="H37" t="n">
        <v>287069</v>
      </c>
      <c r="I37" t="n">
        <v>355051</v>
      </c>
      <c r="J37" t="n">
        <v>430088</v>
      </c>
      <c r="K37" t="n">
        <v>547599</v>
      </c>
      <c r="L37" t="n">
        <v>572081</v>
      </c>
      <c r="M37" t="n">
        <v>640105</v>
      </c>
      <c r="N37" t="n">
        <v>718174</v>
      </c>
      <c r="O37" t="n">
        <v>784225</v>
      </c>
      <c r="P37" t="n">
        <v>854975</v>
      </c>
      <c r="Q37" t="n">
        <v>883145</v>
      </c>
      <c r="R37" t="n">
        <v>895323</v>
      </c>
      <c r="S37" t="n">
        <v>914411</v>
      </c>
      <c r="T37" t="n">
        <v>955230</v>
      </c>
      <c r="U37" t="n">
        <v>797478</v>
      </c>
      <c r="V37" t="n">
        <v>785996</v>
      </c>
      <c r="W37" t="n">
        <v>737882</v>
      </c>
      <c r="X37" t="n">
        <v>752323</v>
      </c>
      <c r="Y37" t="n">
        <v>768634</v>
      </c>
      <c r="Z37" t="n">
        <v>819058</v>
      </c>
      <c r="AA37" t="n">
        <v>853915</v>
      </c>
      <c r="AB37" t="n">
        <v>898006</v>
      </c>
      <c r="AC37" t="n">
        <v>918255</v>
      </c>
      <c r="AD37" t="n">
        <v>942329</v>
      </c>
      <c r="AE37" t="n">
        <v>935625</v>
      </c>
      <c r="AF37" t="n">
        <v>1077643</v>
      </c>
    </row>
    <row r="38">
      <c r="A38" t="s">
        <v>12</v>
      </c>
      <c r="B38" t="s">
        <v>233</v>
      </c>
      <c r="C38" t="s">
        <v>129</v>
      </c>
      <c r="D38" t="s">
        <v>234</v>
      </c>
      <c r="E38" t="s">
        <v>130</v>
      </c>
      <c r="F38"/>
      <c r="G38" t="n">
        <v>66011</v>
      </c>
      <c r="H38" t="n">
        <v>89489</v>
      </c>
      <c r="I38" t="n">
        <v>139543</v>
      </c>
      <c r="J38" t="n">
        <v>174930</v>
      </c>
      <c r="K38" t="n">
        <v>220231</v>
      </c>
      <c r="L38" t="n">
        <v>281873</v>
      </c>
      <c r="M38" t="n">
        <v>326122</v>
      </c>
      <c r="N38" t="n">
        <v>337733</v>
      </c>
      <c r="O38" t="n">
        <v>381795</v>
      </c>
      <c r="P38" t="n">
        <v>419967</v>
      </c>
      <c r="Q38" t="n">
        <v>480959</v>
      </c>
      <c r="R38" t="n">
        <v>535523</v>
      </c>
      <c r="S38" t="n">
        <v>615368</v>
      </c>
      <c r="T38" t="n">
        <v>698639</v>
      </c>
      <c r="U38" t="n">
        <v>714250</v>
      </c>
      <c r="V38" t="n">
        <v>758443</v>
      </c>
      <c r="W38" t="n">
        <v>793056</v>
      </c>
      <c r="X38" t="n">
        <v>866480</v>
      </c>
      <c r="Y38" t="n">
        <v>972549</v>
      </c>
      <c r="Z38" t="n">
        <v>1038034</v>
      </c>
      <c r="AA38" t="n">
        <v>1131538</v>
      </c>
      <c r="AB38" t="n">
        <v>1258215</v>
      </c>
      <c r="AC38" t="n">
        <v>1440667</v>
      </c>
      <c r="AD38" t="n">
        <v>1644680</v>
      </c>
      <c r="AE38" t="n">
        <v>1783990</v>
      </c>
      <c r="AF38" t="n">
        <v>2215208</v>
      </c>
    </row>
    <row r="39">
      <c r="A39" t="s">
        <v>12</v>
      </c>
      <c r="B39" t="s">
        <v>235</v>
      </c>
      <c r="C39" t="s">
        <v>129</v>
      </c>
      <c r="D39" t="s">
        <v>236</v>
      </c>
      <c r="E39" t="s">
        <v>130</v>
      </c>
      <c r="F39"/>
      <c r="G39" t="n">
        <v>341844</v>
      </c>
      <c r="H39" t="n">
        <v>402419</v>
      </c>
      <c r="I39" t="n">
        <v>562876</v>
      </c>
      <c r="J39" t="n">
        <v>600477</v>
      </c>
      <c r="K39" t="n">
        <v>770098</v>
      </c>
      <c r="L39" t="n">
        <v>823527</v>
      </c>
      <c r="M39" t="n">
        <v>972877</v>
      </c>
      <c r="N39" t="n">
        <v>1130172</v>
      </c>
      <c r="O39" t="n">
        <v>1281541</v>
      </c>
      <c r="P39" t="n">
        <v>1407841</v>
      </c>
      <c r="Q39" t="n">
        <v>1597002</v>
      </c>
      <c r="R39" t="n">
        <v>1815225</v>
      </c>
      <c r="S39" t="n">
        <v>1914453</v>
      </c>
      <c r="T39" t="n">
        <v>1955803</v>
      </c>
      <c r="U39" t="n">
        <v>1961574</v>
      </c>
      <c r="V39" t="n">
        <v>1946561</v>
      </c>
      <c r="W39" t="n">
        <v>1963081</v>
      </c>
      <c r="X39" t="n">
        <v>1877769</v>
      </c>
      <c r="Y39" t="n">
        <v>1866145</v>
      </c>
      <c r="Z39" t="n">
        <v>2023145</v>
      </c>
      <c r="AA39" t="n">
        <v>2054284</v>
      </c>
      <c r="AB39" t="n">
        <v>2101385</v>
      </c>
      <c r="AC39" t="n">
        <v>2309083</v>
      </c>
      <c r="AD39" t="n">
        <v>2612091</v>
      </c>
      <c r="AE39" t="n">
        <v>2717323</v>
      </c>
      <c r="AF39" t="n">
        <v>3014353</v>
      </c>
    </row>
    <row r="40">
      <c r="A40" t="s">
        <v>12</v>
      </c>
      <c r="B40" t="s">
        <v>237</v>
      </c>
      <c r="C40" t="s">
        <v>129</v>
      </c>
      <c r="D40" t="s">
        <v>238</v>
      </c>
      <c r="E40" t="s">
        <v>130</v>
      </c>
      <c r="F40"/>
      <c r="G40" t="n">
        <v>489626</v>
      </c>
      <c r="H40" t="n">
        <v>640246</v>
      </c>
      <c r="I40" t="n">
        <v>777003</v>
      </c>
      <c r="J40" t="n">
        <v>964307</v>
      </c>
      <c r="K40" t="n">
        <v>1218066</v>
      </c>
      <c r="L40" t="n">
        <v>1442253</v>
      </c>
      <c r="M40" t="n">
        <v>1647185</v>
      </c>
      <c r="N40" t="n">
        <v>1915923</v>
      </c>
      <c r="O40" t="n">
        <v>2021744</v>
      </c>
      <c r="P40" t="n">
        <v>2257784</v>
      </c>
      <c r="Q40" t="n">
        <v>2475721</v>
      </c>
      <c r="R40" t="n">
        <v>2608566</v>
      </c>
      <c r="S40" t="n">
        <v>2793683</v>
      </c>
      <c r="T40" t="n">
        <v>2879609</v>
      </c>
      <c r="U40" t="n">
        <v>3153044</v>
      </c>
      <c r="V40" t="n">
        <v>3287880</v>
      </c>
      <c r="W40" t="n">
        <v>3140550</v>
      </c>
      <c r="X40" t="n">
        <v>3134052</v>
      </c>
      <c r="Y40" t="n">
        <v>3195867</v>
      </c>
      <c r="Z40" t="n">
        <v>3314028</v>
      </c>
      <c r="AA40" t="n">
        <v>3578337</v>
      </c>
      <c r="AB40" t="n">
        <v>3891800</v>
      </c>
      <c r="AC40" t="n">
        <v>4446289</v>
      </c>
      <c r="AD40" t="n">
        <v>5029121</v>
      </c>
      <c r="AE40" t="n">
        <v>5635792</v>
      </c>
      <c r="AF40" t="n">
        <v>5926678</v>
      </c>
    </row>
    <row r="41">
      <c r="A41" t="s">
        <v>12</v>
      </c>
      <c r="B41" t="s">
        <v>239</v>
      </c>
      <c r="C41" t="s">
        <v>129</v>
      </c>
      <c r="D41" t="s">
        <v>240</v>
      </c>
      <c r="E41" t="s">
        <v>130</v>
      </c>
      <c r="F41"/>
      <c r="G41" t="n">
        <v>346695</v>
      </c>
      <c r="H41" t="n">
        <v>450054</v>
      </c>
      <c r="I41" t="n">
        <v>533636</v>
      </c>
      <c r="J41" t="n">
        <v>638093</v>
      </c>
      <c r="K41" t="n">
        <v>746016</v>
      </c>
      <c r="L41" t="n">
        <v>848113</v>
      </c>
      <c r="M41" t="n">
        <v>963262</v>
      </c>
      <c r="N41" t="n">
        <v>1111743</v>
      </c>
      <c r="O41" t="n">
        <v>1169624</v>
      </c>
      <c r="P41" t="n">
        <v>1254768</v>
      </c>
      <c r="Q41" t="n">
        <v>1371519</v>
      </c>
      <c r="R41" t="n">
        <v>1471574</v>
      </c>
      <c r="S41" t="n">
        <v>1516515</v>
      </c>
      <c r="T41" t="n">
        <v>1589308</v>
      </c>
      <c r="U41" t="n">
        <v>1943773</v>
      </c>
      <c r="V41" t="n">
        <v>2001419</v>
      </c>
      <c r="W41" t="n">
        <v>1929646</v>
      </c>
      <c r="X41" t="n">
        <v>1876049</v>
      </c>
      <c r="Y41" t="n">
        <v>1908130</v>
      </c>
      <c r="Z41" t="n">
        <v>2010242</v>
      </c>
      <c r="AA41" t="n">
        <v>2170116</v>
      </c>
      <c r="AB41" t="n">
        <v>2324707</v>
      </c>
      <c r="AC41" t="n">
        <v>2643994</v>
      </c>
      <c r="AD41" t="n">
        <v>3022949</v>
      </c>
      <c r="AE41" t="n">
        <v>3521879</v>
      </c>
      <c r="AF41" t="n">
        <v>3610066</v>
      </c>
    </row>
    <row r="42">
      <c r="A42" t="s">
        <v>12</v>
      </c>
      <c r="B42" t="s">
        <v>241</v>
      </c>
      <c r="C42" t="s">
        <v>129</v>
      </c>
      <c r="D42" t="s">
        <v>242</v>
      </c>
      <c r="E42" t="s">
        <v>130</v>
      </c>
      <c r="F42"/>
      <c r="G42" t="n">
        <v>380049</v>
      </c>
      <c r="H42" t="n">
        <v>505363</v>
      </c>
      <c r="I42" t="n">
        <v>591782</v>
      </c>
      <c r="J42" t="n">
        <v>682940</v>
      </c>
      <c r="K42" t="n">
        <v>809344</v>
      </c>
      <c r="L42" t="n">
        <v>1044607</v>
      </c>
      <c r="M42" t="n">
        <v>1255864</v>
      </c>
      <c r="N42" t="n">
        <v>1348714</v>
      </c>
      <c r="O42" t="n">
        <v>1483496</v>
      </c>
      <c r="P42" t="n">
        <v>1656054</v>
      </c>
      <c r="Q42" t="n">
        <v>1804955</v>
      </c>
      <c r="R42" t="n">
        <v>1886649</v>
      </c>
      <c r="S42" t="n">
        <v>2067855</v>
      </c>
      <c r="T42" t="n">
        <v>2083482</v>
      </c>
      <c r="U42" t="n">
        <v>2152866</v>
      </c>
      <c r="V42" t="n">
        <v>2149947</v>
      </c>
      <c r="W42" t="n">
        <v>2131138</v>
      </c>
      <c r="X42" t="n">
        <v>2317228</v>
      </c>
      <c r="Y42" t="n">
        <v>2463858</v>
      </c>
      <c r="Z42" t="n">
        <v>2653239</v>
      </c>
      <c r="AA42" t="n">
        <v>2852104</v>
      </c>
      <c r="AB42" t="n">
        <v>3150005</v>
      </c>
      <c r="AC42" t="n">
        <v>3567866</v>
      </c>
      <c r="AD42" t="n">
        <v>4004566</v>
      </c>
      <c r="AE42" t="n">
        <v>4277237</v>
      </c>
      <c r="AF42" t="n">
        <v>4857174</v>
      </c>
    </row>
    <row r="43">
      <c r="A43" t="s">
        <v>12</v>
      </c>
      <c r="B43" t="s">
        <v>243</v>
      </c>
      <c r="C43" t="s">
        <v>129</v>
      </c>
      <c r="D43" t="s">
        <v>244</v>
      </c>
      <c r="E43" t="s">
        <v>130</v>
      </c>
      <c r="F43" t="n">
        <v>0</v>
      </c>
      <c r="G43" t="n">
        <v>604022</v>
      </c>
      <c r="H43" t="n">
        <v>773041</v>
      </c>
      <c r="I43" t="n">
        <v>917129</v>
      </c>
      <c r="J43" t="n">
        <v>1063766</v>
      </c>
      <c r="K43" t="n">
        <v>1273906</v>
      </c>
      <c r="L43" t="n">
        <v>1663857</v>
      </c>
      <c r="M43" t="n">
        <v>1983164</v>
      </c>
      <c r="N43" t="n">
        <v>2196528</v>
      </c>
      <c r="O43" t="n">
        <v>2385719</v>
      </c>
      <c r="P43" t="n">
        <v>2646958</v>
      </c>
      <c r="Q43" t="n">
        <v>2861123</v>
      </c>
      <c r="R43" t="n">
        <v>2978049</v>
      </c>
      <c r="S43" t="n">
        <v>3280498</v>
      </c>
      <c r="T43" t="n">
        <v>3365421</v>
      </c>
      <c r="U43" t="n">
        <v>3429884</v>
      </c>
      <c r="V43" t="n">
        <v>3466569</v>
      </c>
      <c r="W43" t="n">
        <v>3508616</v>
      </c>
      <c r="X43" t="n">
        <v>3751360</v>
      </c>
      <c r="Y43" t="n">
        <v>4054717</v>
      </c>
      <c r="Z43" t="n">
        <v>4389149</v>
      </c>
      <c r="AA43" t="n">
        <v>4689703</v>
      </c>
      <c r="AB43" t="n">
        <v>5224439</v>
      </c>
      <c r="AC43" t="n">
        <v>5924363</v>
      </c>
      <c r="AD43" t="n">
        <v>6532534</v>
      </c>
      <c r="AE43" t="n">
        <v>6494562</v>
      </c>
      <c r="AF43" t="n">
        <v>7602129</v>
      </c>
    </row>
    <row r="44">
      <c r="A44" t="s">
        <v>12</v>
      </c>
      <c r="B44" t="s">
        <v>245</v>
      </c>
      <c r="C44" t="s">
        <v>129</v>
      </c>
      <c r="D44" t="s">
        <v>246</v>
      </c>
      <c r="E44" t="s">
        <v>130</v>
      </c>
      <c r="F44" t="n">
        <v>0</v>
      </c>
      <c r="G44" t="n">
        <v>9686910</v>
      </c>
      <c r="H44" t="n">
        <v>12547478</v>
      </c>
      <c r="I44" t="n">
        <v>15958958</v>
      </c>
      <c r="J44" t="n">
        <v>18605961</v>
      </c>
      <c r="K44" t="n">
        <v>21668659</v>
      </c>
      <c r="L44" t="n">
        <v>25679745</v>
      </c>
      <c r="M44" t="n">
        <v>29052224</v>
      </c>
      <c r="N44" t="n">
        <v>30615289</v>
      </c>
      <c r="O44" t="n">
        <v>33751585</v>
      </c>
      <c r="P44" t="n">
        <v>36789098</v>
      </c>
      <c r="Q44" t="n">
        <v>40231550</v>
      </c>
      <c r="R44" t="n">
        <v>42904112</v>
      </c>
      <c r="S44" t="n">
        <v>46020164</v>
      </c>
      <c r="T44" t="n">
        <v>42584941</v>
      </c>
      <c r="U44" t="n">
        <v>44884682</v>
      </c>
      <c r="V44" t="n">
        <v>47522036</v>
      </c>
      <c r="W44" t="n">
        <v>47703761</v>
      </c>
      <c r="X44" t="n">
        <v>51333389</v>
      </c>
      <c r="Y44" t="n">
        <v>55230747</v>
      </c>
      <c r="Z44" t="n">
        <v>58325209</v>
      </c>
      <c r="AA44" t="n">
        <v>60061383</v>
      </c>
      <c r="AB44" t="n">
        <v>63228892</v>
      </c>
      <c r="AC44" t="n">
        <v>69056702</v>
      </c>
      <c r="AD44" t="n">
        <v>75816275</v>
      </c>
      <c r="AE44" t="n">
        <v>75291164</v>
      </c>
      <c r="AF44" t="n">
        <v>84938866</v>
      </c>
    </row>
    <row r="45">
      <c r="A45" t="s">
        <v>12</v>
      </c>
      <c r="B45" t="s">
        <v>247</v>
      </c>
      <c r="C45" t="s">
        <v>129</v>
      </c>
      <c r="D45" t="s">
        <v>248</v>
      </c>
      <c r="E45" t="s">
        <v>130</v>
      </c>
      <c r="F45" t="n">
        <v>0</v>
      </c>
      <c r="G45" t="n">
        <v>8619127</v>
      </c>
      <c r="H45" t="n">
        <v>11328920</v>
      </c>
      <c r="I45" t="n">
        <v>14532967</v>
      </c>
      <c r="J45" t="n">
        <v>17081576</v>
      </c>
      <c r="K45" t="n">
        <v>20223973</v>
      </c>
      <c r="L45" t="n">
        <v>23809242</v>
      </c>
      <c r="M45" t="n">
        <v>27193200</v>
      </c>
      <c r="N45" t="n">
        <v>28739662</v>
      </c>
      <c r="O45" t="n">
        <v>31539096</v>
      </c>
      <c r="P45" t="n">
        <v>34798848</v>
      </c>
      <c r="Q45" t="n">
        <v>38275252</v>
      </c>
      <c r="R45" t="n">
        <v>40956455</v>
      </c>
      <c r="S45" t="n">
        <v>43405915</v>
      </c>
      <c r="T45" t="n">
        <v>40339966</v>
      </c>
      <c r="U45" t="n">
        <v>43032586</v>
      </c>
      <c r="V45" t="n">
        <v>45214362</v>
      </c>
      <c r="W45" t="n">
        <v>45340602</v>
      </c>
      <c r="X45" t="n">
        <v>48370999</v>
      </c>
      <c r="Y45" t="n">
        <v>52124314</v>
      </c>
      <c r="Z45" t="n">
        <v>55374575</v>
      </c>
      <c r="AA45" t="n">
        <v>56834255</v>
      </c>
      <c r="AB45" t="n">
        <v>60242237</v>
      </c>
      <c r="AC45" t="n">
        <v>65779357</v>
      </c>
      <c r="AD45" t="n">
        <v>72463107</v>
      </c>
      <c r="AE45" t="n">
        <v>71841173</v>
      </c>
      <c r="AF45" t="n">
        <v>81256346</v>
      </c>
    </row>
    <row r="46">
      <c r="A46" t="s">
        <v>12</v>
      </c>
      <c r="B46" t="s">
        <v>249</v>
      </c>
      <c r="C46" t="s">
        <v>129</v>
      </c>
      <c r="D46" t="s">
        <v>250</v>
      </c>
      <c r="E46" t="s">
        <v>130</v>
      </c>
      <c r="F46"/>
      <c r="G46" t="n">
        <v>223973</v>
      </c>
      <c r="H46" t="n">
        <v>267678</v>
      </c>
      <c r="I46" t="n">
        <v>325347</v>
      </c>
      <c r="J46" t="n">
        <v>380826</v>
      </c>
      <c r="K46" t="n">
        <v>464562</v>
      </c>
      <c r="L46" t="n">
        <v>619250</v>
      </c>
      <c r="M46" t="n">
        <v>727300</v>
      </c>
      <c r="N46" t="n">
        <v>847814</v>
      </c>
      <c r="O46" t="n">
        <v>902223</v>
      </c>
      <c r="P46" t="n">
        <v>990904</v>
      </c>
      <c r="Q46" t="n">
        <v>1056168</v>
      </c>
      <c r="R46" t="n">
        <v>1091400</v>
      </c>
      <c r="S46" t="n">
        <v>1212643</v>
      </c>
      <c r="T46" t="n">
        <v>1281939</v>
      </c>
      <c r="U46" t="n">
        <v>1277018</v>
      </c>
      <c r="V46" t="n">
        <v>1316622</v>
      </c>
      <c r="W46" t="n">
        <v>1377478</v>
      </c>
      <c r="X46" t="n">
        <v>1434132</v>
      </c>
      <c r="Y46" t="n">
        <v>1590859</v>
      </c>
      <c r="Z46" t="n">
        <v>1735910</v>
      </c>
      <c r="AA46" t="n">
        <v>1837599</v>
      </c>
      <c r="AB46" t="n">
        <v>2074434</v>
      </c>
      <c r="AC46" t="n">
        <v>2356497</v>
      </c>
      <c r="AD46" t="n">
        <v>2527968</v>
      </c>
      <c r="AE46" t="n">
        <v>2217325</v>
      </c>
      <c r="AF46" t="n">
        <v>2744955</v>
      </c>
    </row>
    <row r="47">
      <c r="A47" t="s">
        <v>12</v>
      </c>
      <c r="B47" t="s">
        <v>251</v>
      </c>
      <c r="C47" t="s">
        <v>129</v>
      </c>
      <c r="D47" t="s">
        <v>252</v>
      </c>
      <c r="E47" t="s">
        <v>130</v>
      </c>
      <c r="F47"/>
      <c r="G47" t="n">
        <v>600499</v>
      </c>
      <c r="H47" t="n">
        <v>697628</v>
      </c>
      <c r="I47" t="n">
        <v>856691</v>
      </c>
      <c r="J47" t="n">
        <v>1017355</v>
      </c>
      <c r="K47" t="n">
        <v>1199737</v>
      </c>
      <c r="L47" t="n">
        <v>1355147</v>
      </c>
      <c r="M47" t="n">
        <v>1581814</v>
      </c>
      <c r="N47" t="n">
        <v>1823732</v>
      </c>
      <c r="O47" t="n">
        <v>1950378</v>
      </c>
      <c r="P47" t="n">
        <v>2071797</v>
      </c>
      <c r="Q47" t="n">
        <v>2259544</v>
      </c>
      <c r="R47" t="n">
        <v>2436980</v>
      </c>
      <c r="S47" t="n">
        <v>2575678</v>
      </c>
      <c r="T47" t="n">
        <v>2784085</v>
      </c>
      <c r="U47" t="n">
        <v>2819376</v>
      </c>
      <c r="V47" t="n">
        <v>2760403</v>
      </c>
      <c r="W47" t="n">
        <v>2738486</v>
      </c>
      <c r="X47" t="n">
        <v>2955265</v>
      </c>
      <c r="Y47" t="n">
        <v>3203211</v>
      </c>
      <c r="Z47" t="n">
        <v>3345484</v>
      </c>
      <c r="AA47" t="n">
        <v>3398617</v>
      </c>
      <c r="AB47" t="n">
        <v>3730410</v>
      </c>
      <c r="AC47" t="n">
        <v>4063386</v>
      </c>
      <c r="AD47" t="n">
        <v>4453200</v>
      </c>
      <c r="AE47" t="n">
        <v>4663689</v>
      </c>
      <c r="AF47" t="n">
        <v>4932042</v>
      </c>
    </row>
    <row r="48">
      <c r="A48" t="s">
        <v>12</v>
      </c>
      <c r="B48" t="s">
        <v>253</v>
      </c>
      <c r="C48" t="s">
        <v>129</v>
      </c>
      <c r="D48" t="s">
        <v>254</v>
      </c>
      <c r="E48" t="s">
        <v>130</v>
      </c>
      <c r="F48" t="n">
        <v>0</v>
      </c>
      <c r="G48" t="n">
        <v>1327412</v>
      </c>
      <c r="H48" t="n">
        <v>1513143</v>
      </c>
      <c r="I48" t="n">
        <v>1866003</v>
      </c>
      <c r="J48" t="n">
        <v>2184100</v>
      </c>
      <c r="K48" t="n">
        <v>2587684</v>
      </c>
      <c r="L48" t="n">
        <v>2901700</v>
      </c>
      <c r="M48" t="n">
        <v>3384842</v>
      </c>
      <c r="N48" t="n">
        <v>3930317</v>
      </c>
      <c r="O48" t="n">
        <v>4379657</v>
      </c>
      <c r="P48" t="n">
        <v>4683906</v>
      </c>
      <c r="Q48" t="n">
        <v>5008563</v>
      </c>
      <c r="R48" t="n">
        <v>5206717</v>
      </c>
      <c r="S48" t="n">
        <v>5443274</v>
      </c>
      <c r="T48" t="n">
        <v>5844959</v>
      </c>
      <c r="U48" t="n">
        <v>5822022</v>
      </c>
      <c r="V48" t="n">
        <v>5810532</v>
      </c>
      <c r="W48" t="n">
        <v>5793480</v>
      </c>
      <c r="X48" t="n">
        <v>6170497</v>
      </c>
      <c r="Y48" t="n">
        <v>6456907</v>
      </c>
      <c r="Z48" t="n">
        <v>7004276</v>
      </c>
      <c r="AA48" t="n">
        <v>7320852</v>
      </c>
      <c r="AB48" t="n">
        <v>7900623</v>
      </c>
      <c r="AC48" t="n">
        <v>8602597</v>
      </c>
      <c r="AD48" t="n">
        <v>9440322</v>
      </c>
      <c r="AE48" t="n">
        <v>9821730</v>
      </c>
      <c r="AF48" t="n">
        <v>10861065</v>
      </c>
    </row>
    <row r="49">
      <c r="A49" t="s">
        <v>12</v>
      </c>
      <c r="B49" t="s">
        <v>255</v>
      </c>
      <c r="C49" t="s">
        <v>129</v>
      </c>
      <c r="D49" t="s">
        <v>256</v>
      </c>
      <c r="E49" t="s">
        <v>130</v>
      </c>
      <c r="F49"/>
      <c r="G49" t="n">
        <v>348075</v>
      </c>
      <c r="H49" t="n">
        <v>392456</v>
      </c>
      <c r="I49" t="n">
        <v>490802</v>
      </c>
      <c r="J49" t="n">
        <v>560534</v>
      </c>
      <c r="K49" t="n">
        <v>672199</v>
      </c>
      <c r="L49" t="n">
        <v>748525</v>
      </c>
      <c r="M49" t="n">
        <v>863286</v>
      </c>
      <c r="N49" t="n">
        <v>994298</v>
      </c>
      <c r="O49" t="n">
        <v>1167188</v>
      </c>
      <c r="P49" t="n">
        <v>1236702</v>
      </c>
      <c r="Q49" t="n">
        <v>1323976</v>
      </c>
      <c r="R49" t="n">
        <v>1384000</v>
      </c>
      <c r="S49" t="n">
        <v>1383442</v>
      </c>
      <c r="T49" t="n">
        <v>1441923</v>
      </c>
      <c r="U49" t="n">
        <v>1420710</v>
      </c>
      <c r="V49" t="n">
        <v>1414038</v>
      </c>
      <c r="W49" t="n">
        <v>1392920</v>
      </c>
      <c r="X49" t="n">
        <v>1400325</v>
      </c>
      <c r="Y49" t="n">
        <v>1341598</v>
      </c>
      <c r="Z49" t="n">
        <v>1581518</v>
      </c>
      <c r="AA49" t="n">
        <v>1736477</v>
      </c>
      <c r="AB49" t="n">
        <v>1872101</v>
      </c>
      <c r="AC49" t="n">
        <v>2014860</v>
      </c>
      <c r="AD49" t="n">
        <v>2179998</v>
      </c>
      <c r="AE49" t="n">
        <v>2314342</v>
      </c>
      <c r="AF49" t="n">
        <v>2360203</v>
      </c>
    </row>
    <row r="50">
      <c r="A50" t="s">
        <v>12</v>
      </c>
      <c r="B50" t="s">
        <v>257</v>
      </c>
      <c r="C50" t="s">
        <v>129</v>
      </c>
      <c r="D50" t="s">
        <v>258</v>
      </c>
      <c r="E50" t="s">
        <v>130</v>
      </c>
      <c r="F50" t="n">
        <v>0</v>
      </c>
      <c r="G50" t="n">
        <v>378838</v>
      </c>
      <c r="H50" t="n">
        <v>423059</v>
      </c>
      <c r="I50" t="n">
        <v>518510</v>
      </c>
      <c r="J50" t="n">
        <v>606211</v>
      </c>
      <c r="K50" t="n">
        <v>715748</v>
      </c>
      <c r="L50" t="n">
        <v>798028</v>
      </c>
      <c r="M50" t="n">
        <v>939742</v>
      </c>
      <c r="N50" t="n">
        <v>1112287</v>
      </c>
      <c r="O50" t="n">
        <v>1262091</v>
      </c>
      <c r="P50" t="n">
        <v>1375407</v>
      </c>
      <c r="Q50" t="n">
        <v>1425043</v>
      </c>
      <c r="R50" t="n">
        <v>1385737</v>
      </c>
      <c r="S50" t="n">
        <v>1484154</v>
      </c>
      <c r="T50" t="n">
        <v>1618951</v>
      </c>
      <c r="U50" t="n">
        <v>1581936</v>
      </c>
      <c r="V50" t="n">
        <v>1636091</v>
      </c>
      <c r="W50" t="n">
        <v>1662074</v>
      </c>
      <c r="X50" t="n">
        <v>1814907</v>
      </c>
      <c r="Y50" t="n">
        <v>1912098</v>
      </c>
      <c r="Z50" t="n">
        <v>2077274</v>
      </c>
      <c r="AA50" t="n">
        <v>2185758</v>
      </c>
      <c r="AB50" t="n">
        <v>2298112</v>
      </c>
      <c r="AC50" t="n">
        <v>2524351</v>
      </c>
      <c r="AD50" t="n">
        <v>2807124</v>
      </c>
      <c r="AE50" t="n">
        <v>2843699</v>
      </c>
      <c r="AF50" t="n">
        <v>3568820</v>
      </c>
    </row>
    <row r="51">
      <c r="A51" t="s">
        <v>12</v>
      </c>
      <c r="B51" t="s">
        <v>259</v>
      </c>
      <c r="C51" t="s">
        <v>129</v>
      </c>
      <c r="D51" t="s">
        <v>260</v>
      </c>
      <c r="E51" t="s">
        <v>130</v>
      </c>
      <c r="F51"/>
      <c r="G51" t="n">
        <v>309397</v>
      </c>
      <c r="H51" t="n">
        <v>341713</v>
      </c>
      <c r="I51" t="n">
        <v>416398</v>
      </c>
      <c r="J51" t="n">
        <v>491121</v>
      </c>
      <c r="K51" t="n">
        <v>583836</v>
      </c>
      <c r="L51" t="n">
        <v>649404</v>
      </c>
      <c r="M51" t="n">
        <v>760395</v>
      </c>
      <c r="N51" t="n">
        <v>899016</v>
      </c>
      <c r="O51" t="n">
        <v>1004876</v>
      </c>
      <c r="P51" t="n">
        <v>1089173</v>
      </c>
      <c r="Q51" t="n">
        <v>1114431</v>
      </c>
      <c r="R51" t="n">
        <v>1049835</v>
      </c>
      <c r="S51" t="n">
        <v>1146134</v>
      </c>
      <c r="T51" t="n">
        <v>1238612</v>
      </c>
      <c r="U51" t="n">
        <v>1214345</v>
      </c>
      <c r="V51" t="n">
        <v>1264713</v>
      </c>
      <c r="W51" t="n">
        <v>1305003</v>
      </c>
      <c r="X51" t="n">
        <v>1416202</v>
      </c>
      <c r="Y51" t="n">
        <v>1478417</v>
      </c>
      <c r="Z51" t="n">
        <v>1620499</v>
      </c>
      <c r="AA51" t="n">
        <v>1728935</v>
      </c>
      <c r="AB51" t="n">
        <v>1799384</v>
      </c>
      <c r="AC51" t="n">
        <v>1961627</v>
      </c>
      <c r="AD51" t="n">
        <v>2165533</v>
      </c>
      <c r="AE51" t="n">
        <v>2166254</v>
      </c>
      <c r="AF51" t="n">
        <v>2852532</v>
      </c>
    </row>
    <row r="52">
      <c r="A52" t="s">
        <v>12</v>
      </c>
      <c r="B52" t="s">
        <v>261</v>
      </c>
      <c r="C52" t="s">
        <v>129</v>
      </c>
      <c r="D52" t="s">
        <v>262</v>
      </c>
      <c r="E52" t="s">
        <v>130</v>
      </c>
      <c r="F52"/>
      <c r="G52" t="n">
        <v>69441</v>
      </c>
      <c r="H52" t="n">
        <v>81346</v>
      </c>
      <c r="I52" t="n">
        <v>102112</v>
      </c>
      <c r="J52" t="n">
        <v>115090</v>
      </c>
      <c r="K52" t="n">
        <v>131912</v>
      </c>
      <c r="L52" t="n">
        <v>148624</v>
      </c>
      <c r="M52" t="n">
        <v>179347</v>
      </c>
      <c r="N52" t="n">
        <v>213271</v>
      </c>
      <c r="O52" t="n">
        <v>257215</v>
      </c>
      <c r="P52" t="n">
        <v>286234</v>
      </c>
      <c r="Q52" t="n">
        <v>310612</v>
      </c>
      <c r="R52" t="n">
        <v>335902</v>
      </c>
      <c r="S52" t="n">
        <v>338020</v>
      </c>
      <c r="T52" t="n">
        <v>380339</v>
      </c>
      <c r="U52" t="n">
        <v>367591</v>
      </c>
      <c r="V52" t="n">
        <v>371378</v>
      </c>
      <c r="W52" t="n">
        <v>357071</v>
      </c>
      <c r="X52" t="n">
        <v>398705</v>
      </c>
      <c r="Y52" t="n">
        <v>433681</v>
      </c>
      <c r="Z52" t="n">
        <v>456775</v>
      </c>
      <c r="AA52" t="n">
        <v>456823</v>
      </c>
      <c r="AB52" t="n">
        <v>498728</v>
      </c>
      <c r="AC52" t="n">
        <v>562724</v>
      </c>
      <c r="AD52" t="n">
        <v>641591</v>
      </c>
      <c r="AE52" t="n">
        <v>677445</v>
      </c>
      <c r="AF52" t="n">
        <v>716288</v>
      </c>
    </row>
    <row r="53">
      <c r="A53" t="s">
        <v>12</v>
      </c>
      <c r="B53" t="s">
        <v>263</v>
      </c>
      <c r="C53" t="s">
        <v>129</v>
      </c>
      <c r="D53" t="s">
        <v>264</v>
      </c>
      <c r="E53" t="s">
        <v>130</v>
      </c>
      <c r="F53"/>
      <c r="G53" t="n">
        <v>151487</v>
      </c>
      <c r="H53" t="n">
        <v>153946</v>
      </c>
      <c r="I53" t="n">
        <v>209683</v>
      </c>
      <c r="J53" t="n">
        <v>229940</v>
      </c>
      <c r="K53" t="n">
        <v>277589</v>
      </c>
      <c r="L53" t="n">
        <v>315541</v>
      </c>
      <c r="M53" t="n">
        <v>392878</v>
      </c>
      <c r="N53" t="n">
        <v>416572</v>
      </c>
      <c r="O53" t="n">
        <v>416537</v>
      </c>
      <c r="P53" t="n">
        <v>439988</v>
      </c>
      <c r="Q53" t="n">
        <v>476350</v>
      </c>
      <c r="R53" t="n">
        <v>483801</v>
      </c>
      <c r="S53" t="n">
        <v>554114</v>
      </c>
      <c r="T53" t="n">
        <v>545564</v>
      </c>
      <c r="U53" t="n">
        <v>564346</v>
      </c>
      <c r="V53" t="n">
        <v>577668</v>
      </c>
      <c r="W53" t="n">
        <v>577181</v>
      </c>
      <c r="X53" t="n">
        <v>625876</v>
      </c>
      <c r="Y53" t="n">
        <v>688628</v>
      </c>
      <c r="Z53" t="n">
        <v>768048</v>
      </c>
      <c r="AA53" t="n">
        <v>860363</v>
      </c>
      <c r="AB53" t="n">
        <v>1040023</v>
      </c>
      <c r="AC53" t="n">
        <v>1107725</v>
      </c>
      <c r="AD53" t="n">
        <v>1219101</v>
      </c>
      <c r="AE53" t="n">
        <v>1074724</v>
      </c>
      <c r="AF53" t="n">
        <v>1242571</v>
      </c>
    </row>
    <row r="54">
      <c r="A54" t="s">
        <v>12</v>
      </c>
      <c r="B54" t="s">
        <v>265</v>
      </c>
      <c r="C54" t="s">
        <v>129</v>
      </c>
      <c r="D54" t="s">
        <v>266</v>
      </c>
      <c r="E54" t="s">
        <v>130</v>
      </c>
      <c r="F54" t="n">
        <v>0</v>
      </c>
      <c r="G54" t="n">
        <v>330491</v>
      </c>
      <c r="H54" t="n">
        <v>374904</v>
      </c>
      <c r="I54" t="n">
        <v>475025</v>
      </c>
      <c r="J54" t="n">
        <v>530453</v>
      </c>
      <c r="K54" t="n">
        <v>595142</v>
      </c>
      <c r="L54" t="n">
        <v>695219</v>
      </c>
      <c r="M54" t="n">
        <v>819842</v>
      </c>
      <c r="N54" t="n">
        <v>850232</v>
      </c>
      <c r="O54" t="n">
        <v>898909</v>
      </c>
      <c r="P54" t="n">
        <v>988029</v>
      </c>
      <c r="Q54" t="n">
        <v>1043088</v>
      </c>
      <c r="R54" t="n">
        <v>1093158</v>
      </c>
      <c r="S54" t="n">
        <v>1186003</v>
      </c>
      <c r="T54" t="n">
        <v>1228163</v>
      </c>
      <c r="U54" t="n">
        <v>1219636</v>
      </c>
      <c r="V54" t="n">
        <v>1241591</v>
      </c>
      <c r="W54" t="n">
        <v>1204623</v>
      </c>
      <c r="X54" t="n">
        <v>1289116</v>
      </c>
      <c r="Y54" t="n">
        <v>1416700</v>
      </c>
      <c r="Z54" t="n">
        <v>1533535</v>
      </c>
      <c r="AA54" t="n">
        <v>1649846</v>
      </c>
      <c r="AB54" t="n">
        <v>1866518</v>
      </c>
      <c r="AC54" t="n">
        <v>2005967</v>
      </c>
      <c r="AD54" t="n">
        <v>2175336</v>
      </c>
      <c r="AE54" t="n">
        <v>2011267</v>
      </c>
      <c r="AF54" t="n">
        <v>2248227</v>
      </c>
    </row>
    <row r="55">
      <c r="A55" t="s">
        <v>12</v>
      </c>
      <c r="B55" t="s">
        <v>267</v>
      </c>
      <c r="C55" t="s">
        <v>129</v>
      </c>
      <c r="D55" t="s">
        <v>268</v>
      </c>
      <c r="E55" t="s">
        <v>130</v>
      </c>
      <c r="F55"/>
      <c r="G55" t="n">
        <v>179004</v>
      </c>
      <c r="H55" t="n">
        <v>220958</v>
      </c>
      <c r="I55" t="n">
        <v>265342</v>
      </c>
      <c r="J55" t="n">
        <v>300513</v>
      </c>
      <c r="K55" t="n">
        <v>317553</v>
      </c>
      <c r="L55" t="n">
        <v>379678</v>
      </c>
      <c r="M55" t="n">
        <v>426964</v>
      </c>
      <c r="N55" t="n">
        <v>433660</v>
      </c>
      <c r="O55" t="n">
        <v>482372</v>
      </c>
      <c r="P55" t="n">
        <v>548041</v>
      </c>
      <c r="Q55" t="n">
        <v>566738</v>
      </c>
      <c r="R55" t="n">
        <v>609357</v>
      </c>
      <c r="S55" t="n">
        <v>631889</v>
      </c>
      <c r="T55" t="n">
        <v>682599</v>
      </c>
      <c r="U55" t="n">
        <v>655290</v>
      </c>
      <c r="V55" t="n">
        <v>663923</v>
      </c>
      <c r="W55" t="n">
        <v>627442</v>
      </c>
      <c r="X55" t="n">
        <v>663240</v>
      </c>
      <c r="Y55" t="n">
        <v>728072</v>
      </c>
      <c r="Z55" t="n">
        <v>765487</v>
      </c>
      <c r="AA55" t="n">
        <v>789483</v>
      </c>
      <c r="AB55" t="n">
        <v>826495</v>
      </c>
      <c r="AC55" t="n">
        <v>898242</v>
      </c>
      <c r="AD55" t="n">
        <v>956235</v>
      </c>
      <c r="AE55" t="n">
        <v>936543</v>
      </c>
      <c r="AF55" t="n">
        <v>1005656</v>
      </c>
    </row>
    <row r="56">
      <c r="A56" t="s">
        <v>12</v>
      </c>
      <c r="B56" t="s">
        <v>269</v>
      </c>
      <c r="C56" t="s">
        <v>129</v>
      </c>
      <c r="D56" t="s">
        <v>270</v>
      </c>
      <c r="E56" t="s">
        <v>130</v>
      </c>
      <c r="F56"/>
      <c r="G56" t="n">
        <v>750</v>
      </c>
      <c r="H56" t="n">
        <v>1103</v>
      </c>
      <c r="I56" t="n">
        <v>1391</v>
      </c>
      <c r="J56" t="n">
        <v>1624</v>
      </c>
      <c r="K56" t="n">
        <v>2064</v>
      </c>
      <c r="L56" t="n">
        <v>2629</v>
      </c>
      <c r="M56" t="n">
        <v>3128</v>
      </c>
      <c r="N56" t="n">
        <v>3078</v>
      </c>
      <c r="O56" t="n">
        <v>3120</v>
      </c>
      <c r="P56" t="n">
        <v>3051</v>
      </c>
      <c r="Q56" t="n">
        <v>3696</v>
      </c>
      <c r="R56" t="n">
        <v>3332</v>
      </c>
      <c r="S56" t="n">
        <v>2925</v>
      </c>
      <c r="T56" t="n">
        <v>2075</v>
      </c>
      <c r="U56" t="n">
        <v>3388</v>
      </c>
      <c r="V56" t="n">
        <v>3486</v>
      </c>
      <c r="W56" t="n">
        <v>3580</v>
      </c>
      <c r="X56" t="n">
        <v>3783</v>
      </c>
      <c r="Y56" t="n">
        <v>3757</v>
      </c>
      <c r="Z56" t="n">
        <v>5500</v>
      </c>
      <c r="AA56" t="n">
        <v>6229</v>
      </c>
      <c r="AB56" t="n">
        <v>6106</v>
      </c>
      <c r="AC56" t="n">
        <v>11194</v>
      </c>
      <c r="AD56" t="n">
        <v>8256</v>
      </c>
      <c r="AE56" t="n">
        <v>8425</v>
      </c>
      <c r="AF56" t="n">
        <v>8270</v>
      </c>
    </row>
    <row r="57">
      <c r="A57" t="s">
        <v>12</v>
      </c>
      <c r="B57" t="s">
        <v>271</v>
      </c>
      <c r="C57" t="s">
        <v>129</v>
      </c>
      <c r="D57" t="s">
        <v>272</v>
      </c>
      <c r="E57" t="s">
        <v>130</v>
      </c>
      <c r="F57" t="n">
        <v>0</v>
      </c>
      <c r="G57" t="n">
        <v>11504698</v>
      </c>
      <c r="H57" t="n">
        <v>14701970</v>
      </c>
      <c r="I57" t="n">
        <v>18603355</v>
      </c>
      <c r="J57" t="n">
        <v>21755992</v>
      </c>
      <c r="K57" t="n">
        <v>25476473</v>
      </c>
      <c r="L57" t="n">
        <v>30026327</v>
      </c>
      <c r="M57" t="n">
        <v>34087379</v>
      </c>
      <c r="N57" t="n">
        <v>36464607</v>
      </c>
      <c r="O57" t="n">
        <v>40156106</v>
      </c>
      <c r="P57" t="n">
        <v>43733839</v>
      </c>
      <c r="Q57" t="n">
        <v>47719530</v>
      </c>
      <c r="R57" t="n">
        <v>50722727</v>
      </c>
      <c r="S57" t="n">
        <v>54260046</v>
      </c>
      <c r="T57" t="n">
        <v>51311584</v>
      </c>
      <c r="U57" t="n">
        <v>53863136</v>
      </c>
      <c r="V57" t="n">
        <v>56623934</v>
      </c>
      <c r="W57" t="n">
        <v>56641371</v>
      </c>
      <c r="X57" t="n">
        <v>60641721</v>
      </c>
      <c r="Y57" t="n">
        <v>64887278</v>
      </c>
      <c r="Z57" t="n">
        <v>68649013</v>
      </c>
      <c r="AA57" t="n">
        <v>70966801</v>
      </c>
      <c r="AB57" t="n">
        <v>75027421</v>
      </c>
      <c r="AC57" t="n">
        <v>82116782</v>
      </c>
      <c r="AD57" t="n">
        <v>90293974</v>
      </c>
      <c r="AE57" t="n">
        <v>90757111</v>
      </c>
      <c r="AF57" t="n">
        <v>101734879</v>
      </c>
    </row>
    <row r="58">
      <c r="A58" t="s">
        <v>12</v>
      </c>
      <c r="B58" t="s">
        <v>273</v>
      </c>
      <c r="C58" t="s">
        <v>129</v>
      </c>
      <c r="D58" t="s">
        <v>274</v>
      </c>
      <c r="E58" t="s">
        <v>130</v>
      </c>
      <c r="F58" t="n">
        <v>0</v>
      </c>
      <c r="G58" t="n">
        <v>11503948</v>
      </c>
      <c r="H58" t="n">
        <v>14700867</v>
      </c>
      <c r="I58" t="n">
        <v>18601964</v>
      </c>
      <c r="J58" t="n">
        <v>21754368</v>
      </c>
      <c r="K58" t="n">
        <v>25474409</v>
      </c>
      <c r="L58" t="n">
        <v>30023698</v>
      </c>
      <c r="M58" t="n">
        <v>34084251</v>
      </c>
      <c r="N58" t="n">
        <v>36461529</v>
      </c>
      <c r="O58" t="n">
        <v>40152986</v>
      </c>
      <c r="P58" t="n">
        <v>43730788</v>
      </c>
      <c r="Q58" t="n">
        <v>47715834</v>
      </c>
      <c r="R58" t="n">
        <v>50719395</v>
      </c>
      <c r="S58" t="n">
        <v>54257121</v>
      </c>
      <c r="T58" t="n">
        <v>51309509</v>
      </c>
      <c r="U58" t="n">
        <v>53859748</v>
      </c>
      <c r="V58" t="n">
        <v>56620448</v>
      </c>
      <c r="W58" t="n">
        <v>56637791</v>
      </c>
      <c r="X58" t="n">
        <v>60637938</v>
      </c>
      <c r="Y58" t="n">
        <v>64883521</v>
      </c>
      <c r="Z58" t="n">
        <v>68643513</v>
      </c>
      <c r="AA58" t="n">
        <v>70960572</v>
      </c>
      <c r="AB58" t="n">
        <v>75021315</v>
      </c>
      <c r="AC58" t="n">
        <v>82105588</v>
      </c>
      <c r="AD58" t="n">
        <v>90285718</v>
      </c>
      <c r="AE58" t="n">
        <v>90748686</v>
      </c>
      <c r="AF58" t="n">
        <v>101726609</v>
      </c>
    </row>
    <row r="59">
      <c r="A59" t="s">
        <v>12</v>
      </c>
      <c r="B59" t="s">
        <v>275</v>
      </c>
      <c r="C59" t="s">
        <v>129</v>
      </c>
      <c r="D59" t="s">
        <v>276</v>
      </c>
      <c r="E59" t="s">
        <v>130</v>
      </c>
      <c r="F59"/>
      <c r="G59"/>
      <c r="H59"/>
      <c r="I59"/>
      <c r="J59"/>
      <c r="K59"/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>
      <c r="A2" t="s">
        <v>14</v>
      </c>
      <c r="B2" t="s">
        <v>84</v>
      </c>
      <c r="C2" t="s">
        <v>129</v>
      </c>
      <c r="D2" t="s">
        <v>86</v>
      </c>
      <c r="E2" t="s">
        <v>130</v>
      </c>
      <c r="F2"/>
      <c r="G2" t="n">
        <v>620834</v>
      </c>
      <c r="H2" t="n">
        <v>708042</v>
      </c>
      <c r="I2" t="n">
        <v>827445</v>
      </c>
      <c r="J2" t="n">
        <v>861153</v>
      </c>
      <c r="K2" t="n">
        <v>873367</v>
      </c>
      <c r="L2" t="n">
        <v>1110517</v>
      </c>
      <c r="M2" t="n">
        <v>1203087</v>
      </c>
      <c r="N2" t="n">
        <v>1113911</v>
      </c>
      <c r="O2" t="n">
        <v>1092021</v>
      </c>
      <c r="P2" t="n">
        <v>1124374</v>
      </c>
      <c r="Q2" t="n">
        <v>1169034</v>
      </c>
      <c r="R2" t="n">
        <v>1259383</v>
      </c>
      <c r="S2" t="n">
        <v>1219653</v>
      </c>
      <c r="T2" t="n">
        <v>1426895</v>
      </c>
      <c r="U2" t="n">
        <v>1235087</v>
      </c>
      <c r="V2" t="n">
        <v>1345917</v>
      </c>
      <c r="W2" t="n">
        <v>1472497</v>
      </c>
      <c r="X2" t="n">
        <v>1670777</v>
      </c>
      <c r="Y2" t="n">
        <v>1735755</v>
      </c>
      <c r="Z2" t="n">
        <v>1671083</v>
      </c>
      <c r="AA2" t="n">
        <v>1739506</v>
      </c>
      <c r="AB2" t="n">
        <v>1672258</v>
      </c>
      <c r="AC2" t="n">
        <v>1726716</v>
      </c>
      <c r="AD2" t="n">
        <v>1865056</v>
      </c>
      <c r="AE2" t="n">
        <v>1989202</v>
      </c>
      <c r="AF2" t="n">
        <v>2015635</v>
      </c>
    </row>
    <row r="3">
      <c r="A3" t="s">
        <v>14</v>
      </c>
      <c r="B3" t="s">
        <v>163</v>
      </c>
      <c r="C3" t="s">
        <v>129</v>
      </c>
      <c r="D3" t="s">
        <v>164</v>
      </c>
      <c r="E3" t="s">
        <v>130</v>
      </c>
      <c r="F3"/>
      <c r="G3" t="n">
        <v>31105</v>
      </c>
      <c r="H3" t="n">
        <v>37172</v>
      </c>
      <c r="I3" t="n">
        <v>36807</v>
      </c>
      <c r="J3" t="n">
        <v>38724</v>
      </c>
      <c r="K3" t="n">
        <v>44466</v>
      </c>
      <c r="L3" t="n">
        <v>54049</v>
      </c>
      <c r="M3" t="n">
        <v>54793</v>
      </c>
      <c r="N3" t="n">
        <v>51217</v>
      </c>
      <c r="O3" t="n">
        <v>56361</v>
      </c>
      <c r="P3" t="n">
        <v>65673</v>
      </c>
      <c r="Q3" t="n">
        <v>92790</v>
      </c>
      <c r="R3" t="n">
        <v>89953</v>
      </c>
      <c r="S3" t="n">
        <v>79589</v>
      </c>
      <c r="T3" t="n">
        <v>83262</v>
      </c>
      <c r="U3" t="n">
        <v>50099</v>
      </c>
      <c r="V3" t="n">
        <v>46861</v>
      </c>
      <c r="W3" t="n">
        <v>46079</v>
      </c>
      <c r="X3" t="n">
        <v>58329</v>
      </c>
      <c r="Y3" t="n">
        <v>65583</v>
      </c>
      <c r="Z3" t="n">
        <v>54884</v>
      </c>
      <c r="AA3" t="n">
        <v>44356</v>
      </c>
      <c r="AB3" t="n">
        <v>53012</v>
      </c>
      <c r="AC3" t="n">
        <v>90415</v>
      </c>
      <c r="AD3" t="n">
        <v>114448</v>
      </c>
      <c r="AE3" t="n">
        <v>98522</v>
      </c>
      <c r="AF3" t="n">
        <v>93826</v>
      </c>
    </row>
    <row r="4">
      <c r="A4" t="s">
        <v>14</v>
      </c>
      <c r="B4" t="s">
        <v>165</v>
      </c>
      <c r="C4" t="s">
        <v>129</v>
      </c>
      <c r="D4" t="s">
        <v>166</v>
      </c>
      <c r="E4" t="s">
        <v>130</v>
      </c>
      <c r="F4" t="n">
        <v>0</v>
      </c>
      <c r="G4" t="n">
        <v>2798718</v>
      </c>
      <c r="H4" t="n">
        <v>3880968</v>
      </c>
      <c r="I4" t="n">
        <v>5085707</v>
      </c>
      <c r="J4" t="n">
        <v>6219689</v>
      </c>
      <c r="K4" t="n">
        <v>7836297</v>
      </c>
      <c r="L4" t="n">
        <v>9194323</v>
      </c>
      <c r="M4" t="n">
        <v>9860919</v>
      </c>
      <c r="N4" t="n">
        <v>10372635</v>
      </c>
      <c r="O4" t="n">
        <v>11464138</v>
      </c>
      <c r="P4" t="n">
        <v>12478324</v>
      </c>
      <c r="Q4" t="n">
        <v>14101274</v>
      </c>
      <c r="R4" t="n">
        <v>15275320</v>
      </c>
      <c r="S4" t="n">
        <v>16333064</v>
      </c>
      <c r="T4" t="n">
        <v>13464861</v>
      </c>
      <c r="U4" t="n">
        <v>15783960</v>
      </c>
      <c r="V4" t="n">
        <v>17473464</v>
      </c>
      <c r="W4" t="n">
        <v>17253677</v>
      </c>
      <c r="X4" t="n">
        <v>18780087</v>
      </c>
      <c r="Y4" t="n">
        <v>20093899</v>
      </c>
      <c r="Z4" t="n">
        <v>21129560</v>
      </c>
      <c r="AA4" t="n">
        <v>21466086</v>
      </c>
      <c r="AB4" t="n">
        <v>22168863</v>
      </c>
      <c r="AC4" t="n">
        <v>23599044</v>
      </c>
      <c r="AD4" t="n">
        <v>25938603</v>
      </c>
      <c r="AE4" t="n">
        <v>25873469</v>
      </c>
      <c r="AF4" t="n">
        <v>28684513</v>
      </c>
    </row>
    <row r="5">
      <c r="A5" t="s">
        <v>14</v>
      </c>
      <c r="B5" t="s">
        <v>167</v>
      </c>
      <c r="C5" t="s">
        <v>129</v>
      </c>
      <c r="D5" t="s">
        <v>168</v>
      </c>
      <c r="E5" t="s">
        <v>130</v>
      </c>
      <c r="F5"/>
      <c r="G5" t="n">
        <v>773521</v>
      </c>
      <c r="H5" t="n">
        <v>924808</v>
      </c>
      <c r="I5" t="n">
        <v>1077490</v>
      </c>
      <c r="J5" t="n">
        <v>1114540</v>
      </c>
      <c r="K5" t="n">
        <v>1267437</v>
      </c>
      <c r="L5" t="n">
        <v>1542319</v>
      </c>
      <c r="M5" t="n">
        <v>1669917</v>
      </c>
      <c r="N5" t="n">
        <v>1664591</v>
      </c>
      <c r="O5" t="n">
        <v>1702840</v>
      </c>
      <c r="P5" t="n">
        <v>1676603</v>
      </c>
      <c r="Q5" t="n">
        <v>1731498</v>
      </c>
      <c r="R5" t="n">
        <v>1614720</v>
      </c>
      <c r="S5" t="n">
        <v>1865378</v>
      </c>
      <c r="T5" t="n">
        <v>1896323</v>
      </c>
      <c r="U5" t="n">
        <v>1812633</v>
      </c>
      <c r="V5" t="n">
        <v>2005059</v>
      </c>
      <c r="W5" t="n">
        <v>2226956</v>
      </c>
      <c r="X5" t="n">
        <v>2483341</v>
      </c>
      <c r="Y5" t="n">
        <v>2457481</v>
      </c>
      <c r="Z5" t="n">
        <v>2488439</v>
      </c>
      <c r="AA5" t="n">
        <v>2556266</v>
      </c>
      <c r="AB5" t="n">
        <v>2614252</v>
      </c>
      <c r="AC5" t="n">
        <v>2743811</v>
      </c>
      <c r="AD5" t="n">
        <v>2879796</v>
      </c>
      <c r="AE5" t="n">
        <v>3099088</v>
      </c>
      <c r="AF5" t="n">
        <v>3390519</v>
      </c>
    </row>
    <row r="6">
      <c r="A6" t="s">
        <v>14</v>
      </c>
      <c r="B6" t="s">
        <v>169</v>
      </c>
      <c r="C6" t="s">
        <v>129</v>
      </c>
      <c r="D6" t="s">
        <v>170</v>
      </c>
      <c r="E6" t="s">
        <v>130</v>
      </c>
      <c r="F6"/>
      <c r="G6" t="n">
        <v>105786</v>
      </c>
      <c r="H6" t="n">
        <v>140770</v>
      </c>
      <c r="I6" t="n">
        <v>180610</v>
      </c>
      <c r="J6" t="n">
        <v>214194</v>
      </c>
      <c r="K6" t="n">
        <v>278794</v>
      </c>
      <c r="L6" t="n">
        <v>332690</v>
      </c>
      <c r="M6" t="n">
        <v>309342</v>
      </c>
      <c r="N6" t="n">
        <v>276593</v>
      </c>
      <c r="O6" t="n">
        <v>277380</v>
      </c>
      <c r="P6" t="n">
        <v>253458</v>
      </c>
      <c r="Q6" t="n">
        <v>264382</v>
      </c>
      <c r="R6" t="n">
        <v>274570</v>
      </c>
      <c r="S6" t="n">
        <v>242217</v>
      </c>
      <c r="T6" t="n">
        <v>189452</v>
      </c>
      <c r="U6" t="n">
        <v>187499</v>
      </c>
      <c r="V6" t="n">
        <v>233776</v>
      </c>
      <c r="W6" t="n">
        <v>220846</v>
      </c>
      <c r="X6" t="n">
        <v>231067</v>
      </c>
      <c r="Y6" t="n">
        <v>256274</v>
      </c>
      <c r="Z6" t="n">
        <v>275083</v>
      </c>
      <c r="AA6" t="n">
        <v>290421</v>
      </c>
      <c r="AB6" t="n">
        <v>309091</v>
      </c>
      <c r="AC6" t="n">
        <v>310554</v>
      </c>
      <c r="AD6" t="n">
        <v>282511</v>
      </c>
      <c r="AE6" t="n">
        <v>255158</v>
      </c>
      <c r="AF6" t="n">
        <v>285150</v>
      </c>
    </row>
    <row r="7">
      <c r="A7" t="s">
        <v>14</v>
      </c>
      <c r="B7" t="s">
        <v>171</v>
      </c>
      <c r="C7" t="s">
        <v>129</v>
      </c>
      <c r="D7" t="s">
        <v>172</v>
      </c>
      <c r="E7" t="s">
        <v>130</v>
      </c>
      <c r="F7"/>
      <c r="G7" t="n">
        <v>174500</v>
      </c>
      <c r="H7" t="n">
        <v>220266</v>
      </c>
      <c r="I7" t="n">
        <v>246495</v>
      </c>
      <c r="J7" t="n">
        <v>301270</v>
      </c>
      <c r="K7" t="n">
        <v>371318</v>
      </c>
      <c r="L7" t="n">
        <v>461344</v>
      </c>
      <c r="M7" t="n">
        <v>472880</v>
      </c>
      <c r="N7" t="n">
        <v>467943</v>
      </c>
      <c r="O7" t="n">
        <v>501100</v>
      </c>
      <c r="P7" t="n">
        <v>505676</v>
      </c>
      <c r="Q7" t="n">
        <v>529246</v>
      </c>
      <c r="R7" t="n">
        <v>540330</v>
      </c>
      <c r="S7" t="n">
        <v>532020</v>
      </c>
      <c r="T7" t="n">
        <v>504408</v>
      </c>
      <c r="U7" t="n">
        <v>583194</v>
      </c>
      <c r="V7" t="n">
        <v>618709</v>
      </c>
      <c r="W7" t="n">
        <v>564316</v>
      </c>
      <c r="X7" t="n">
        <v>583862</v>
      </c>
      <c r="Y7" t="n">
        <v>624823</v>
      </c>
      <c r="Z7" t="n">
        <v>668520</v>
      </c>
      <c r="AA7" t="n">
        <v>711838</v>
      </c>
      <c r="AB7" t="n">
        <v>733228</v>
      </c>
      <c r="AC7" t="n">
        <v>767337</v>
      </c>
      <c r="AD7" t="n">
        <v>797984</v>
      </c>
      <c r="AE7" t="n">
        <v>822976</v>
      </c>
      <c r="AF7" t="n">
        <v>923691</v>
      </c>
    </row>
    <row r="8">
      <c r="A8" t="s">
        <v>14</v>
      </c>
      <c r="B8" t="s">
        <v>173</v>
      </c>
      <c r="C8" t="s">
        <v>129</v>
      </c>
      <c r="D8" t="s">
        <v>174</v>
      </c>
      <c r="E8" t="s">
        <v>130</v>
      </c>
      <c r="F8"/>
      <c r="G8" t="n">
        <v>142277</v>
      </c>
      <c r="H8" t="n">
        <v>203786</v>
      </c>
      <c r="I8" t="n">
        <v>250550</v>
      </c>
      <c r="J8" t="n">
        <v>255132</v>
      </c>
      <c r="K8" t="n">
        <v>308855</v>
      </c>
      <c r="L8" t="n">
        <v>479470</v>
      </c>
      <c r="M8" t="n">
        <v>504716</v>
      </c>
      <c r="N8" t="n">
        <v>451350</v>
      </c>
      <c r="O8" t="n">
        <v>462474</v>
      </c>
      <c r="P8" t="n">
        <v>651120</v>
      </c>
      <c r="Q8" t="n">
        <v>768633</v>
      </c>
      <c r="R8" t="n">
        <v>1002576</v>
      </c>
      <c r="S8" t="n">
        <v>1099543</v>
      </c>
      <c r="T8" t="n">
        <v>1025449</v>
      </c>
      <c r="U8" t="n">
        <v>1084329</v>
      </c>
      <c r="V8" t="n">
        <v>1444238</v>
      </c>
      <c r="W8" t="n">
        <v>1493092</v>
      </c>
      <c r="X8" t="n">
        <v>1669694</v>
      </c>
      <c r="Y8" t="n">
        <v>1626918</v>
      </c>
      <c r="Z8" t="n">
        <v>1356069</v>
      </c>
      <c r="AA8" t="n">
        <v>1023621</v>
      </c>
      <c r="AB8" t="n">
        <v>1020521</v>
      </c>
      <c r="AC8" t="n">
        <v>1254495</v>
      </c>
      <c r="AD8" t="n">
        <v>1457248</v>
      </c>
      <c r="AE8" t="n">
        <v>1261342</v>
      </c>
      <c r="AF8" t="n">
        <v>1050318</v>
      </c>
    </row>
    <row r="9">
      <c r="A9" t="s">
        <v>14</v>
      </c>
      <c r="B9" t="s">
        <v>175</v>
      </c>
      <c r="C9" t="s">
        <v>129</v>
      </c>
      <c r="D9" t="s">
        <v>176</v>
      </c>
      <c r="E9" t="s">
        <v>130</v>
      </c>
      <c r="F9"/>
      <c r="G9" t="n">
        <v>158937</v>
      </c>
      <c r="H9" t="n">
        <v>206117</v>
      </c>
      <c r="I9" t="n">
        <v>220522</v>
      </c>
      <c r="J9" t="n">
        <v>243621</v>
      </c>
      <c r="K9" t="n">
        <v>356590</v>
      </c>
      <c r="L9" t="n">
        <v>387477</v>
      </c>
      <c r="M9" t="n">
        <v>411102</v>
      </c>
      <c r="N9" t="n">
        <v>396220</v>
      </c>
      <c r="O9" t="n">
        <v>446773</v>
      </c>
      <c r="P9" t="n">
        <v>544967</v>
      </c>
      <c r="Q9" t="n">
        <v>628022</v>
      </c>
      <c r="R9" t="n">
        <v>688567</v>
      </c>
      <c r="S9" t="n">
        <v>701162</v>
      </c>
      <c r="T9" t="n">
        <v>661529</v>
      </c>
      <c r="U9" t="n">
        <v>721860</v>
      </c>
      <c r="V9" t="n">
        <v>887409</v>
      </c>
      <c r="W9" t="n">
        <v>1021482</v>
      </c>
      <c r="X9" t="n">
        <v>1218162</v>
      </c>
      <c r="Y9" t="n">
        <v>1281611</v>
      </c>
      <c r="Z9" t="n">
        <v>1254072</v>
      </c>
      <c r="AA9" t="n">
        <v>1161988</v>
      </c>
      <c r="AB9" t="n">
        <v>1066317</v>
      </c>
      <c r="AC9" t="n">
        <v>1160600</v>
      </c>
      <c r="AD9" t="n">
        <v>1220906</v>
      </c>
      <c r="AE9" t="n">
        <v>1232133</v>
      </c>
      <c r="AF9" t="n">
        <v>1431963</v>
      </c>
    </row>
    <row r="10">
      <c r="A10" t="s">
        <v>14</v>
      </c>
      <c r="B10" t="s">
        <v>177</v>
      </c>
      <c r="C10" t="s">
        <v>129</v>
      </c>
      <c r="D10" t="s">
        <v>178</v>
      </c>
      <c r="E10" t="s">
        <v>130</v>
      </c>
      <c r="F10" t="n">
        <v>0</v>
      </c>
      <c r="G10" t="n">
        <v>222083</v>
      </c>
      <c r="H10" t="n">
        <v>291380</v>
      </c>
      <c r="I10" t="n">
        <v>317309</v>
      </c>
      <c r="J10" t="n">
        <v>342557</v>
      </c>
      <c r="K10" t="n">
        <v>471648</v>
      </c>
      <c r="L10" t="n">
        <v>531592</v>
      </c>
      <c r="M10" t="n">
        <v>571653</v>
      </c>
      <c r="N10" t="n">
        <v>562918</v>
      </c>
      <c r="O10" t="n">
        <v>637497</v>
      </c>
      <c r="P10" t="n">
        <v>754461</v>
      </c>
      <c r="Q10" t="n">
        <v>872534</v>
      </c>
      <c r="R10" t="n">
        <v>946014</v>
      </c>
      <c r="S10" t="n">
        <v>992288</v>
      </c>
      <c r="T10" t="n">
        <v>1009209</v>
      </c>
      <c r="U10" t="n">
        <v>1069252</v>
      </c>
      <c r="V10" t="n">
        <v>1304004</v>
      </c>
      <c r="W10" t="n">
        <v>1451648</v>
      </c>
      <c r="X10" t="n">
        <v>1684579</v>
      </c>
      <c r="Y10" t="n">
        <v>1755520</v>
      </c>
      <c r="Z10" t="n">
        <v>1757035</v>
      </c>
      <c r="AA10" t="n">
        <v>1681106</v>
      </c>
      <c r="AB10" t="n">
        <v>1589311</v>
      </c>
      <c r="AC10" t="n">
        <v>1701330</v>
      </c>
      <c r="AD10" t="n">
        <v>1798825</v>
      </c>
      <c r="AE10" t="n">
        <v>1855199</v>
      </c>
      <c r="AF10" t="n">
        <v>2094814</v>
      </c>
    </row>
    <row r="11">
      <c r="A11" t="s">
        <v>14</v>
      </c>
      <c r="B11" t="s">
        <v>179</v>
      </c>
      <c r="C11" t="s">
        <v>129</v>
      </c>
      <c r="D11" t="s">
        <v>180</v>
      </c>
      <c r="E11" t="s">
        <v>130</v>
      </c>
      <c r="F11"/>
      <c r="G11" t="n">
        <v>63146</v>
      </c>
      <c r="H11" t="n">
        <v>85263</v>
      </c>
      <c r="I11" t="n">
        <v>96787</v>
      </c>
      <c r="J11" t="n">
        <v>98936</v>
      </c>
      <c r="K11" t="n">
        <v>115058</v>
      </c>
      <c r="L11" t="n">
        <v>144115</v>
      </c>
      <c r="M11" t="n">
        <v>160551</v>
      </c>
      <c r="N11" t="n">
        <v>166698</v>
      </c>
      <c r="O11" t="n">
        <v>190724</v>
      </c>
      <c r="P11" t="n">
        <v>209494</v>
      </c>
      <c r="Q11" t="n">
        <v>244512</v>
      </c>
      <c r="R11" t="n">
        <v>257447</v>
      </c>
      <c r="S11" t="n">
        <v>291126</v>
      </c>
      <c r="T11" t="n">
        <v>347680</v>
      </c>
      <c r="U11" t="n">
        <v>347392</v>
      </c>
      <c r="V11" t="n">
        <v>416595</v>
      </c>
      <c r="W11" t="n">
        <v>430166</v>
      </c>
      <c r="X11" t="n">
        <v>466417</v>
      </c>
      <c r="Y11" t="n">
        <v>473909</v>
      </c>
      <c r="Z11" t="n">
        <v>502963</v>
      </c>
      <c r="AA11" t="n">
        <v>519118</v>
      </c>
      <c r="AB11" t="n">
        <v>522994</v>
      </c>
      <c r="AC11" t="n">
        <v>540730</v>
      </c>
      <c r="AD11" t="n">
        <v>577919</v>
      </c>
      <c r="AE11" t="n">
        <v>623066</v>
      </c>
      <c r="AF11" t="n">
        <v>662851</v>
      </c>
    </row>
    <row r="12">
      <c r="A12" t="s">
        <v>14</v>
      </c>
      <c r="B12" t="s">
        <v>181</v>
      </c>
      <c r="C12" t="s">
        <v>129</v>
      </c>
      <c r="D12" t="s">
        <v>182</v>
      </c>
      <c r="E12" t="s">
        <v>130</v>
      </c>
      <c r="F12"/>
      <c r="G12" t="n">
        <v>193447</v>
      </c>
      <c r="H12" t="n">
        <v>242350</v>
      </c>
      <c r="I12" t="n">
        <v>316422</v>
      </c>
      <c r="J12" t="n">
        <v>352945</v>
      </c>
      <c r="K12" t="n">
        <v>455663</v>
      </c>
      <c r="L12" t="n">
        <v>566074</v>
      </c>
      <c r="M12" t="n">
        <v>631747</v>
      </c>
      <c r="N12" t="n">
        <v>632608</v>
      </c>
      <c r="O12" t="n">
        <v>721947</v>
      </c>
      <c r="P12" t="n">
        <v>795677</v>
      </c>
      <c r="Q12" t="n">
        <v>895478</v>
      </c>
      <c r="R12" t="n">
        <v>1023749</v>
      </c>
      <c r="S12" t="n">
        <v>1184568</v>
      </c>
      <c r="T12" t="n">
        <v>943426</v>
      </c>
      <c r="U12" t="n">
        <v>969528</v>
      </c>
      <c r="V12" t="n">
        <v>1127170</v>
      </c>
      <c r="W12" t="n">
        <v>1140068</v>
      </c>
      <c r="X12" t="n">
        <v>1219939</v>
      </c>
      <c r="Y12" t="n">
        <v>1330991</v>
      </c>
      <c r="Z12" t="n">
        <v>1494788</v>
      </c>
      <c r="AA12" t="n">
        <v>1548640</v>
      </c>
      <c r="AB12" t="n">
        <v>1624609</v>
      </c>
      <c r="AC12" t="n">
        <v>1878057</v>
      </c>
      <c r="AD12" t="n">
        <v>1973344</v>
      </c>
      <c r="AE12" t="n">
        <v>1966506</v>
      </c>
      <c r="AF12" t="n">
        <v>2291385</v>
      </c>
    </row>
    <row r="13">
      <c r="A13" t="s">
        <v>14</v>
      </c>
      <c r="B13" t="s">
        <v>183</v>
      </c>
      <c r="C13" t="s">
        <v>129</v>
      </c>
      <c r="D13" t="s">
        <v>184</v>
      </c>
      <c r="E13" t="s">
        <v>130</v>
      </c>
      <c r="F13"/>
      <c r="G13" t="n">
        <v>318614</v>
      </c>
      <c r="H13" t="n">
        <v>417048</v>
      </c>
      <c r="I13" t="n">
        <v>471404</v>
      </c>
      <c r="J13" t="n">
        <v>544906</v>
      </c>
      <c r="K13" t="n">
        <v>691983</v>
      </c>
      <c r="L13" t="n">
        <v>787596</v>
      </c>
      <c r="M13" t="n">
        <v>839150</v>
      </c>
      <c r="N13" t="n">
        <v>820443</v>
      </c>
      <c r="O13" t="n">
        <v>909558</v>
      </c>
      <c r="P13" t="n">
        <v>1033938</v>
      </c>
      <c r="Q13" t="n">
        <v>1214035</v>
      </c>
      <c r="R13" t="n">
        <v>1288147</v>
      </c>
      <c r="S13" t="n">
        <v>1349466</v>
      </c>
      <c r="T13" t="n">
        <v>946561</v>
      </c>
      <c r="U13" t="n">
        <v>955924</v>
      </c>
      <c r="V13" t="n">
        <v>1293840</v>
      </c>
      <c r="W13" t="n">
        <v>1237508</v>
      </c>
      <c r="X13" t="n">
        <v>1330521</v>
      </c>
      <c r="Y13" t="n">
        <v>1376647</v>
      </c>
      <c r="Z13" t="n">
        <v>1458925</v>
      </c>
      <c r="AA13" t="n">
        <v>1498231</v>
      </c>
      <c r="AB13" t="n">
        <v>1681303</v>
      </c>
      <c r="AC13" t="n">
        <v>1880091</v>
      </c>
      <c r="AD13" t="n">
        <v>1960537</v>
      </c>
      <c r="AE13" t="n">
        <v>1836485</v>
      </c>
      <c r="AF13" t="n">
        <v>2188984</v>
      </c>
    </row>
    <row r="14">
      <c r="A14" t="s">
        <v>14</v>
      </c>
      <c r="B14" t="s">
        <v>185</v>
      </c>
      <c r="C14" t="s">
        <v>129</v>
      </c>
      <c r="D14" t="s">
        <v>186</v>
      </c>
      <c r="E14" t="s">
        <v>130</v>
      </c>
      <c r="F14"/>
      <c r="G14" t="n">
        <v>188686</v>
      </c>
      <c r="H14" t="n">
        <v>480395</v>
      </c>
      <c r="I14" t="n">
        <v>836404</v>
      </c>
      <c r="J14" t="n">
        <v>1233815</v>
      </c>
      <c r="K14" t="n">
        <v>1390425</v>
      </c>
      <c r="L14" t="n">
        <v>1524069</v>
      </c>
      <c r="M14" t="n">
        <v>1661960</v>
      </c>
      <c r="N14" t="n">
        <v>2448125</v>
      </c>
      <c r="O14" t="n">
        <v>2965339</v>
      </c>
      <c r="P14" t="n">
        <v>3057699</v>
      </c>
      <c r="Q14" t="n">
        <v>3454349</v>
      </c>
      <c r="R14" t="n">
        <v>3489067</v>
      </c>
      <c r="S14" t="n">
        <v>3660240</v>
      </c>
      <c r="T14" t="n">
        <v>2997174</v>
      </c>
      <c r="U14" t="n">
        <v>4206054</v>
      </c>
      <c r="V14" t="n">
        <v>3751479</v>
      </c>
      <c r="W14" t="n">
        <v>2888652</v>
      </c>
      <c r="X14" t="n">
        <v>2492355</v>
      </c>
      <c r="Y14" t="n">
        <v>2422231</v>
      </c>
      <c r="Z14" t="n">
        <v>2442786</v>
      </c>
      <c r="AA14" t="n">
        <v>2750432</v>
      </c>
      <c r="AB14" t="n">
        <v>2809325</v>
      </c>
      <c r="AC14" t="n">
        <v>3156388</v>
      </c>
      <c r="AD14" t="n">
        <v>3369683</v>
      </c>
      <c r="AE14" t="n">
        <v>3581590</v>
      </c>
      <c r="AF14" t="n">
        <v>3836503</v>
      </c>
    </row>
    <row r="15">
      <c r="A15" t="s">
        <v>14</v>
      </c>
      <c r="B15" t="s">
        <v>187</v>
      </c>
      <c r="C15" t="s">
        <v>129</v>
      </c>
      <c r="D15" t="s">
        <v>188</v>
      </c>
      <c r="E15" t="s">
        <v>130</v>
      </c>
      <c r="F15" t="n">
        <v>0</v>
      </c>
      <c r="G15" t="n">
        <v>323188</v>
      </c>
      <c r="H15" t="n">
        <v>639761</v>
      </c>
      <c r="I15" t="n">
        <v>1039576</v>
      </c>
      <c r="J15" t="n">
        <v>1514543</v>
      </c>
      <c r="K15" t="n">
        <v>2048329</v>
      </c>
      <c r="L15" t="n">
        <v>2306925</v>
      </c>
      <c r="M15" t="n">
        <v>2538875</v>
      </c>
      <c r="N15" t="n">
        <v>3100059</v>
      </c>
      <c r="O15" t="n">
        <v>3661373</v>
      </c>
      <c r="P15" t="n">
        <v>3822336</v>
      </c>
      <c r="Q15" t="n">
        <v>4272486</v>
      </c>
      <c r="R15" t="n">
        <v>4341117</v>
      </c>
      <c r="S15" t="n">
        <v>4622341</v>
      </c>
      <c r="T15" t="n">
        <v>3571654</v>
      </c>
      <c r="U15" t="n">
        <v>4937201</v>
      </c>
      <c r="V15" t="n">
        <v>4443247</v>
      </c>
      <c r="W15" t="n">
        <v>3577691</v>
      </c>
      <c r="X15" t="n">
        <v>3243729</v>
      </c>
      <c r="Y15" t="n">
        <v>3230976</v>
      </c>
      <c r="Z15" t="n">
        <v>3303212</v>
      </c>
      <c r="AA15" t="n">
        <v>3679876</v>
      </c>
      <c r="AB15" t="n">
        <v>3776418</v>
      </c>
      <c r="AC15" t="n">
        <v>4216968</v>
      </c>
      <c r="AD15" t="n">
        <v>4700095</v>
      </c>
      <c r="AE15" t="n">
        <v>5108986</v>
      </c>
      <c r="AF15" t="n">
        <v>6194350</v>
      </c>
    </row>
    <row r="16">
      <c r="A16" t="s">
        <v>14</v>
      </c>
      <c r="B16" t="s">
        <v>189</v>
      </c>
      <c r="C16" t="s">
        <v>129</v>
      </c>
      <c r="D16" t="s">
        <v>190</v>
      </c>
      <c r="E16" t="s">
        <v>130</v>
      </c>
      <c r="F16"/>
      <c r="G16" t="n">
        <v>134502</v>
      </c>
      <c r="H16" t="n">
        <v>159366</v>
      </c>
      <c r="I16" t="n">
        <v>203172</v>
      </c>
      <c r="J16" t="n">
        <v>280728</v>
      </c>
      <c r="K16" t="n">
        <v>657904</v>
      </c>
      <c r="L16" t="n">
        <v>782856</v>
      </c>
      <c r="M16" t="n">
        <v>876915</v>
      </c>
      <c r="N16" t="n">
        <v>651934</v>
      </c>
      <c r="O16" t="n">
        <v>696034</v>
      </c>
      <c r="P16" t="n">
        <v>764637</v>
      </c>
      <c r="Q16" t="n">
        <v>818137</v>
      </c>
      <c r="R16" t="n">
        <v>852050</v>
      </c>
      <c r="S16" t="n">
        <v>962101</v>
      </c>
      <c r="T16" t="n">
        <v>574480</v>
      </c>
      <c r="U16" t="n">
        <v>731147</v>
      </c>
      <c r="V16" t="n">
        <v>691768</v>
      </c>
      <c r="W16" t="n">
        <v>689039</v>
      </c>
      <c r="X16" t="n">
        <v>751374</v>
      </c>
      <c r="Y16" t="n">
        <v>808745</v>
      </c>
      <c r="Z16" t="n">
        <v>860426</v>
      </c>
      <c r="AA16" t="n">
        <v>929444</v>
      </c>
      <c r="AB16" t="n">
        <v>967093</v>
      </c>
      <c r="AC16" t="n">
        <v>1060580</v>
      </c>
      <c r="AD16" t="n">
        <v>1330412</v>
      </c>
      <c r="AE16" t="n">
        <v>1527396</v>
      </c>
      <c r="AF16" t="n">
        <v>2357847</v>
      </c>
    </row>
    <row r="17">
      <c r="A17" t="s">
        <v>14</v>
      </c>
      <c r="B17" t="s">
        <v>191</v>
      </c>
      <c r="C17" t="s">
        <v>129</v>
      </c>
      <c r="D17" t="s">
        <v>192</v>
      </c>
      <c r="E17" t="s">
        <v>130</v>
      </c>
      <c r="F17"/>
      <c r="G17" t="n">
        <v>102289</v>
      </c>
      <c r="H17" t="n">
        <v>122025</v>
      </c>
      <c r="I17" t="n">
        <v>149643</v>
      </c>
      <c r="J17" t="n">
        <v>173908</v>
      </c>
      <c r="K17" t="n">
        <v>220185</v>
      </c>
      <c r="L17" t="n">
        <v>266995</v>
      </c>
      <c r="M17" t="n">
        <v>336722</v>
      </c>
      <c r="N17" t="n">
        <v>356962</v>
      </c>
      <c r="O17" t="n">
        <v>407830</v>
      </c>
      <c r="P17" t="n">
        <v>457992</v>
      </c>
      <c r="Q17" t="n">
        <v>494917</v>
      </c>
      <c r="R17" t="n">
        <v>560083</v>
      </c>
      <c r="S17" t="n">
        <v>639941</v>
      </c>
      <c r="T17" t="n">
        <v>711464</v>
      </c>
      <c r="U17" t="n">
        <v>767978</v>
      </c>
      <c r="V17" t="n">
        <v>1200156</v>
      </c>
      <c r="W17" t="n">
        <v>1299029</v>
      </c>
      <c r="X17" t="n">
        <v>1344092</v>
      </c>
      <c r="Y17" t="n">
        <v>1408621</v>
      </c>
      <c r="Z17" t="n">
        <v>1318653</v>
      </c>
      <c r="AA17" t="n">
        <v>1338173</v>
      </c>
      <c r="AB17" t="n">
        <v>1442842</v>
      </c>
      <c r="AC17" t="n">
        <v>1328722</v>
      </c>
      <c r="AD17" t="n">
        <v>1360058</v>
      </c>
      <c r="AE17" t="n">
        <v>1359787</v>
      </c>
      <c r="AF17" t="n">
        <v>1616786</v>
      </c>
    </row>
    <row r="18">
      <c r="A18" t="s">
        <v>14</v>
      </c>
      <c r="B18" t="s">
        <v>193</v>
      </c>
      <c r="C18" t="s">
        <v>129</v>
      </c>
      <c r="D18" t="s">
        <v>194</v>
      </c>
      <c r="E18" t="s">
        <v>130</v>
      </c>
      <c r="F18"/>
      <c r="G18" t="n">
        <v>372716</v>
      </c>
      <c r="H18" t="n">
        <v>589741</v>
      </c>
      <c r="I18" t="n">
        <v>928839</v>
      </c>
      <c r="J18" t="n">
        <v>1271220</v>
      </c>
      <c r="K18" t="n">
        <v>1549933</v>
      </c>
      <c r="L18" t="n">
        <v>1703213</v>
      </c>
      <c r="M18" t="n">
        <v>1727612</v>
      </c>
      <c r="N18" t="n">
        <v>1783881</v>
      </c>
      <c r="O18" t="n">
        <v>1897362</v>
      </c>
      <c r="P18" t="n">
        <v>2233348</v>
      </c>
      <c r="Q18" t="n">
        <v>2730191</v>
      </c>
      <c r="R18" t="n">
        <v>3296155</v>
      </c>
      <c r="S18" t="n">
        <v>3444408</v>
      </c>
      <c r="T18" t="n">
        <v>2317314</v>
      </c>
      <c r="U18" t="n">
        <v>3020147</v>
      </c>
      <c r="V18" t="n">
        <v>3403457</v>
      </c>
      <c r="W18" t="n">
        <v>3642053</v>
      </c>
      <c r="X18" t="n">
        <v>4540290</v>
      </c>
      <c r="Y18" t="n">
        <v>5544895</v>
      </c>
      <c r="Z18" t="n">
        <v>6456075</v>
      </c>
      <c r="AA18" t="n">
        <v>6544543</v>
      </c>
      <c r="AB18" t="n">
        <v>6730914</v>
      </c>
      <c r="AC18" t="n">
        <v>6919214</v>
      </c>
      <c r="AD18" t="n">
        <v>8062744</v>
      </c>
      <c r="AE18" t="n">
        <v>7598973</v>
      </c>
      <c r="AF18" t="n">
        <v>7837814</v>
      </c>
    </row>
    <row r="19">
      <c r="A19" t="s">
        <v>14</v>
      </c>
      <c r="B19" t="s">
        <v>195</v>
      </c>
      <c r="C19" t="s">
        <v>129</v>
      </c>
      <c r="D19" t="s">
        <v>196</v>
      </c>
      <c r="E19" t="s">
        <v>130</v>
      </c>
      <c r="F19"/>
      <c r="G19" t="n">
        <v>70297</v>
      </c>
      <c r="H19" t="n">
        <v>89033</v>
      </c>
      <c r="I19" t="n">
        <v>107369</v>
      </c>
      <c r="J19" t="n">
        <v>134474</v>
      </c>
      <c r="K19" t="n">
        <v>172152</v>
      </c>
      <c r="L19" t="n">
        <v>216105</v>
      </c>
      <c r="M19" t="n">
        <v>258305</v>
      </c>
      <c r="N19" t="n">
        <v>255287</v>
      </c>
      <c r="O19" t="n">
        <v>284777</v>
      </c>
      <c r="P19" t="n">
        <v>293715</v>
      </c>
      <c r="Q19" t="n">
        <v>327874</v>
      </c>
      <c r="R19" t="n">
        <v>387859</v>
      </c>
      <c r="S19" t="n">
        <v>360894</v>
      </c>
      <c r="T19" t="n">
        <v>349601</v>
      </c>
      <c r="U19" t="n">
        <v>396275</v>
      </c>
      <c r="V19" t="n">
        <v>399808</v>
      </c>
      <c r="W19" t="n">
        <v>400470</v>
      </c>
      <c r="X19" t="n">
        <v>448973</v>
      </c>
      <c r="Y19" t="n">
        <v>480753</v>
      </c>
      <c r="Z19" t="n">
        <v>552761</v>
      </c>
      <c r="AA19" t="n">
        <v>593371</v>
      </c>
      <c r="AB19" t="n">
        <v>646374</v>
      </c>
      <c r="AC19" t="n">
        <v>598465</v>
      </c>
      <c r="AD19" t="n">
        <v>665461</v>
      </c>
      <c r="AE19" t="n">
        <v>708969</v>
      </c>
      <c r="AF19" t="n">
        <v>810702</v>
      </c>
    </row>
    <row r="20">
      <c r="A20" t="s">
        <v>14</v>
      </c>
      <c r="B20" t="s">
        <v>197</v>
      </c>
      <c r="C20" t="s">
        <v>129</v>
      </c>
      <c r="D20" t="s">
        <v>198</v>
      </c>
      <c r="E20" t="s">
        <v>130</v>
      </c>
      <c r="F20"/>
      <c r="G20" t="n">
        <v>263250</v>
      </c>
      <c r="H20" t="n">
        <v>323885</v>
      </c>
      <c r="I20" t="n">
        <v>403675</v>
      </c>
      <c r="J20" t="n">
        <v>423941</v>
      </c>
      <c r="K20" t="n">
        <v>303250</v>
      </c>
      <c r="L20" t="n">
        <v>335348</v>
      </c>
      <c r="M20" t="n">
        <v>445753</v>
      </c>
      <c r="N20" t="n">
        <v>484648</v>
      </c>
      <c r="O20" t="n">
        <v>526387</v>
      </c>
      <c r="P20" t="n">
        <v>583073</v>
      </c>
      <c r="Q20" t="n">
        <v>584828</v>
      </c>
      <c r="R20" t="n">
        <v>849849</v>
      </c>
      <c r="S20" t="n">
        <v>919975</v>
      </c>
      <c r="T20" t="n">
        <v>989705</v>
      </c>
      <c r="U20" t="n">
        <v>896201</v>
      </c>
      <c r="V20" t="n">
        <v>941657</v>
      </c>
      <c r="W20" t="n">
        <v>976073</v>
      </c>
      <c r="X20" t="n">
        <v>961981</v>
      </c>
      <c r="Y20" t="n">
        <v>878201</v>
      </c>
      <c r="Z20" t="n">
        <v>860460</v>
      </c>
      <c r="AA20" t="n">
        <v>829657</v>
      </c>
      <c r="AB20" t="n">
        <v>803790</v>
      </c>
      <c r="AC20" t="n">
        <v>810952</v>
      </c>
      <c r="AD20" t="n">
        <v>911467</v>
      </c>
      <c r="AE20" t="n">
        <v>916380</v>
      </c>
      <c r="AF20" t="n">
        <v>1020615</v>
      </c>
    </row>
    <row r="21">
      <c r="A21" t="s">
        <v>14</v>
      </c>
      <c r="B21" t="s">
        <v>199</v>
      </c>
      <c r="C21" t="s">
        <v>129</v>
      </c>
      <c r="D21" t="s">
        <v>200</v>
      </c>
      <c r="E21" t="s">
        <v>130</v>
      </c>
      <c r="F21" t="n">
        <v>0</v>
      </c>
      <c r="G21" t="n">
        <v>308828</v>
      </c>
      <c r="H21" t="n">
        <v>380489</v>
      </c>
      <c r="I21" t="n">
        <v>486359</v>
      </c>
      <c r="J21" t="n">
        <v>530892</v>
      </c>
      <c r="K21" t="n">
        <v>429081</v>
      </c>
      <c r="L21" t="n">
        <v>480972</v>
      </c>
      <c r="M21" t="n">
        <v>613435</v>
      </c>
      <c r="N21" t="n">
        <v>646338</v>
      </c>
      <c r="O21" t="n">
        <v>710838</v>
      </c>
      <c r="P21" t="n">
        <v>791795</v>
      </c>
      <c r="Q21" t="n">
        <v>822775</v>
      </c>
      <c r="R21" t="n">
        <v>1095935</v>
      </c>
      <c r="S21" t="n">
        <v>1175263</v>
      </c>
      <c r="T21" t="n">
        <v>1265837</v>
      </c>
      <c r="U21" t="n">
        <v>1178515</v>
      </c>
      <c r="V21" t="n">
        <v>1257466</v>
      </c>
      <c r="W21" t="n">
        <v>1303634</v>
      </c>
      <c r="X21" t="n">
        <v>1304866</v>
      </c>
      <c r="Y21" t="n">
        <v>1246302</v>
      </c>
      <c r="Z21" t="n">
        <v>1223587</v>
      </c>
      <c r="AA21" t="n">
        <v>1213150</v>
      </c>
      <c r="AB21" t="n">
        <v>1211059</v>
      </c>
      <c r="AC21" t="n">
        <v>1212240</v>
      </c>
      <c r="AD21" t="n">
        <v>1338941</v>
      </c>
      <c r="AE21" t="n">
        <v>1365735</v>
      </c>
      <c r="AF21" t="n">
        <v>1450535</v>
      </c>
    </row>
    <row r="22">
      <c r="A22" t="s">
        <v>14</v>
      </c>
      <c r="B22" t="s">
        <v>201</v>
      </c>
      <c r="C22" t="s">
        <v>129</v>
      </c>
      <c r="D22" t="s">
        <v>202</v>
      </c>
      <c r="E22" t="s">
        <v>130</v>
      </c>
      <c r="F22"/>
      <c r="G22" t="n">
        <v>45578</v>
      </c>
      <c r="H22" t="n">
        <v>56604</v>
      </c>
      <c r="I22" t="n">
        <v>82684</v>
      </c>
      <c r="J22" t="n">
        <v>106951</v>
      </c>
      <c r="K22" t="n">
        <v>125831</v>
      </c>
      <c r="L22" t="n">
        <v>145624</v>
      </c>
      <c r="M22" t="n">
        <v>167682</v>
      </c>
      <c r="N22" t="n">
        <v>161690</v>
      </c>
      <c r="O22" t="n">
        <v>184451</v>
      </c>
      <c r="P22" t="n">
        <v>208722</v>
      </c>
      <c r="Q22" t="n">
        <v>237947</v>
      </c>
      <c r="R22" t="n">
        <v>246086</v>
      </c>
      <c r="S22" t="n">
        <v>255288</v>
      </c>
      <c r="T22" t="n">
        <v>276132</v>
      </c>
      <c r="U22" t="n">
        <v>282314</v>
      </c>
      <c r="V22" t="n">
        <v>315809</v>
      </c>
      <c r="W22" t="n">
        <v>327561</v>
      </c>
      <c r="X22" t="n">
        <v>342885</v>
      </c>
      <c r="Y22" t="n">
        <v>368101</v>
      </c>
      <c r="Z22" t="n">
        <v>363127</v>
      </c>
      <c r="AA22" t="n">
        <v>383493</v>
      </c>
      <c r="AB22" t="n">
        <v>407269</v>
      </c>
      <c r="AC22" t="n">
        <v>401288</v>
      </c>
      <c r="AD22" t="n">
        <v>427474</v>
      </c>
      <c r="AE22" t="n">
        <v>449355</v>
      </c>
      <c r="AF22" t="n">
        <v>429920</v>
      </c>
    </row>
    <row r="23">
      <c r="A23" t="s">
        <v>14</v>
      </c>
      <c r="B23" t="s">
        <v>203</v>
      </c>
      <c r="C23" t="s">
        <v>129</v>
      </c>
      <c r="D23" t="s">
        <v>204</v>
      </c>
      <c r="E23" t="s">
        <v>130</v>
      </c>
      <c r="F23"/>
      <c r="G23" t="n">
        <v>389951</v>
      </c>
      <c r="H23" t="n">
        <v>502473</v>
      </c>
      <c r="I23" t="n">
        <v>548583</v>
      </c>
      <c r="J23" t="n">
        <v>642943</v>
      </c>
      <c r="K23" t="n">
        <v>767358</v>
      </c>
      <c r="L23" t="n">
        <v>1042627</v>
      </c>
      <c r="M23" t="n">
        <v>1269534</v>
      </c>
      <c r="N23" t="n">
        <v>1261640</v>
      </c>
      <c r="O23" t="n">
        <v>1463738</v>
      </c>
      <c r="P23" t="n">
        <v>1626477</v>
      </c>
      <c r="Q23" t="n">
        <v>1712002</v>
      </c>
      <c r="R23" t="n">
        <v>1617844</v>
      </c>
      <c r="S23" t="n">
        <v>1819701</v>
      </c>
      <c r="T23" t="n">
        <v>1719062</v>
      </c>
      <c r="U23" t="n">
        <v>1512018</v>
      </c>
      <c r="V23" t="n">
        <v>1389498</v>
      </c>
      <c r="W23" t="n">
        <v>1331222</v>
      </c>
      <c r="X23" t="n">
        <v>1596330</v>
      </c>
      <c r="Y23" t="n">
        <v>1866608</v>
      </c>
      <c r="Z23" t="n">
        <v>1934983</v>
      </c>
      <c r="AA23" t="n">
        <v>1775822</v>
      </c>
      <c r="AB23" t="n">
        <v>2271313</v>
      </c>
      <c r="AC23" t="n">
        <v>2958892</v>
      </c>
      <c r="AD23" t="n">
        <v>3603506</v>
      </c>
      <c r="AE23" t="n">
        <v>3977901</v>
      </c>
      <c r="AF23" t="n">
        <v>4472127</v>
      </c>
    </row>
    <row r="24">
      <c r="A24" t="s">
        <v>14</v>
      </c>
      <c r="B24" t="s">
        <v>205</v>
      </c>
      <c r="C24" t="s">
        <v>129</v>
      </c>
      <c r="D24" t="s">
        <v>206</v>
      </c>
      <c r="E24" t="s">
        <v>130</v>
      </c>
      <c r="F24" t="n">
        <v>0</v>
      </c>
      <c r="G24" t="n">
        <v>617663</v>
      </c>
      <c r="H24" t="n">
        <v>765334</v>
      </c>
      <c r="I24" t="n">
        <v>1030892</v>
      </c>
      <c r="J24" t="n">
        <v>1091219</v>
      </c>
      <c r="K24" t="n">
        <v>1284688</v>
      </c>
      <c r="L24" t="n">
        <v>1694096</v>
      </c>
      <c r="M24" t="n">
        <v>1844920</v>
      </c>
      <c r="N24" t="n">
        <v>1785565</v>
      </c>
      <c r="O24" t="n">
        <v>1988800</v>
      </c>
      <c r="P24" t="n">
        <v>2208637</v>
      </c>
      <c r="Q24" t="n">
        <v>2347291</v>
      </c>
      <c r="R24" t="n">
        <v>2444725</v>
      </c>
      <c r="S24" t="n">
        <v>2749763</v>
      </c>
      <c r="T24" t="n">
        <v>2759562</v>
      </c>
      <c r="U24" t="n">
        <v>2673289</v>
      </c>
      <c r="V24" t="n">
        <v>2733998</v>
      </c>
      <c r="W24" t="n">
        <v>2658394</v>
      </c>
      <c r="X24" t="n">
        <v>2985316</v>
      </c>
      <c r="Y24" t="n">
        <v>3098973</v>
      </c>
      <c r="Z24" t="n">
        <v>3163400</v>
      </c>
      <c r="AA24" t="n">
        <v>3346893</v>
      </c>
      <c r="AB24" t="n">
        <v>3497016</v>
      </c>
      <c r="AC24" t="n">
        <v>3803476</v>
      </c>
      <c r="AD24" t="n">
        <v>4110637</v>
      </c>
      <c r="AE24" t="n">
        <v>4292544</v>
      </c>
      <c r="AF24" t="n">
        <v>4638045</v>
      </c>
    </row>
    <row r="25">
      <c r="A25" t="s">
        <v>14</v>
      </c>
      <c r="B25" t="s">
        <v>207</v>
      </c>
      <c r="C25" t="s">
        <v>129</v>
      </c>
      <c r="D25" t="s">
        <v>208</v>
      </c>
      <c r="E25" t="s">
        <v>130</v>
      </c>
      <c r="F25"/>
      <c r="G25" t="n">
        <v>65064</v>
      </c>
      <c r="H25" t="n">
        <v>78391</v>
      </c>
      <c r="I25" t="n">
        <v>130136</v>
      </c>
      <c r="J25" t="n">
        <v>135851</v>
      </c>
      <c r="K25" t="n">
        <v>174051</v>
      </c>
      <c r="L25" t="n">
        <v>233380</v>
      </c>
      <c r="M25" t="n">
        <v>256003</v>
      </c>
      <c r="N25" t="n">
        <v>253125</v>
      </c>
      <c r="O25" t="n">
        <v>302471</v>
      </c>
      <c r="P25" t="n">
        <v>326136</v>
      </c>
      <c r="Q25" t="n">
        <v>336128</v>
      </c>
      <c r="R25" t="n">
        <v>359864</v>
      </c>
      <c r="S25" t="n">
        <v>395129</v>
      </c>
      <c r="T25" t="n">
        <v>382305</v>
      </c>
      <c r="U25" t="n">
        <v>328159</v>
      </c>
      <c r="V25" t="n">
        <v>328692</v>
      </c>
      <c r="W25" t="n">
        <v>314830</v>
      </c>
      <c r="X25" t="n">
        <v>361295</v>
      </c>
      <c r="Y25" t="n">
        <v>353252</v>
      </c>
      <c r="Z25" t="n">
        <v>371157</v>
      </c>
      <c r="AA25" t="n">
        <v>394770</v>
      </c>
      <c r="AB25" t="n">
        <v>436333</v>
      </c>
      <c r="AC25" t="n">
        <v>477121</v>
      </c>
      <c r="AD25" t="n">
        <v>521714</v>
      </c>
      <c r="AE25" t="n">
        <v>506601</v>
      </c>
      <c r="AF25" t="n">
        <v>551993</v>
      </c>
    </row>
    <row r="26">
      <c r="A26" t="s">
        <v>14</v>
      </c>
      <c r="B26" t="s">
        <v>209</v>
      </c>
      <c r="C26" t="s">
        <v>129</v>
      </c>
      <c r="D26" t="s">
        <v>210</v>
      </c>
      <c r="E26" t="s">
        <v>130</v>
      </c>
      <c r="F26"/>
      <c r="G26" t="n">
        <v>362052</v>
      </c>
      <c r="H26" t="n">
        <v>446782</v>
      </c>
      <c r="I26" t="n">
        <v>541703</v>
      </c>
      <c r="J26" t="n">
        <v>613528</v>
      </c>
      <c r="K26" t="n">
        <v>704568</v>
      </c>
      <c r="L26" t="n">
        <v>925286</v>
      </c>
      <c r="M26" t="n">
        <v>1000205</v>
      </c>
      <c r="N26" t="n">
        <v>939610</v>
      </c>
      <c r="O26" t="n">
        <v>997085</v>
      </c>
      <c r="P26" t="n">
        <v>1173361</v>
      </c>
      <c r="Q26" t="n">
        <v>1260759</v>
      </c>
      <c r="R26" t="n">
        <v>1301186</v>
      </c>
      <c r="S26" t="n">
        <v>1452127</v>
      </c>
      <c r="T26" t="n">
        <v>1431041</v>
      </c>
      <c r="U26" t="n">
        <v>1468915</v>
      </c>
      <c r="V26" t="n">
        <v>1511676</v>
      </c>
      <c r="W26" t="n">
        <v>1448883</v>
      </c>
      <c r="X26" t="n">
        <v>1629830</v>
      </c>
      <c r="Y26" t="n">
        <v>1686978</v>
      </c>
      <c r="Z26" t="n">
        <v>1714596</v>
      </c>
      <c r="AA26" t="n">
        <v>1762476</v>
      </c>
      <c r="AB26" t="n">
        <v>1829176</v>
      </c>
      <c r="AC26" t="n">
        <v>2020946</v>
      </c>
      <c r="AD26" t="n">
        <v>2168458</v>
      </c>
      <c r="AE26" t="n">
        <v>2273199</v>
      </c>
      <c r="AF26" t="n">
        <v>2518774</v>
      </c>
    </row>
    <row r="27">
      <c r="A27" t="s">
        <v>14</v>
      </c>
      <c r="B27" t="s">
        <v>211</v>
      </c>
      <c r="C27" t="s">
        <v>129</v>
      </c>
      <c r="D27" t="s">
        <v>212</v>
      </c>
      <c r="E27" t="s">
        <v>130</v>
      </c>
      <c r="F27"/>
      <c r="G27" t="n">
        <v>190547</v>
      </c>
      <c r="H27" t="n">
        <v>240161</v>
      </c>
      <c r="I27" t="n">
        <v>359053</v>
      </c>
      <c r="J27" t="n">
        <v>341840</v>
      </c>
      <c r="K27" t="n">
        <v>406069</v>
      </c>
      <c r="L27" t="n">
        <v>535430</v>
      </c>
      <c r="M27" t="n">
        <v>588712</v>
      </c>
      <c r="N27" t="n">
        <v>592830</v>
      </c>
      <c r="O27" t="n">
        <v>689244</v>
      </c>
      <c r="P27" t="n">
        <v>709140</v>
      </c>
      <c r="Q27" t="n">
        <v>750404</v>
      </c>
      <c r="R27" t="n">
        <v>783675</v>
      </c>
      <c r="S27" t="n">
        <v>902507</v>
      </c>
      <c r="T27" t="n">
        <v>946216</v>
      </c>
      <c r="U27" t="n">
        <v>876215</v>
      </c>
      <c r="V27" t="n">
        <v>893630</v>
      </c>
      <c r="W27" t="n">
        <v>894681</v>
      </c>
      <c r="X27" t="n">
        <v>994191</v>
      </c>
      <c r="Y27" t="n">
        <v>1058743</v>
      </c>
      <c r="Z27" t="n">
        <v>1077647</v>
      </c>
      <c r="AA27" t="n">
        <v>1189647</v>
      </c>
      <c r="AB27" t="n">
        <v>1231507</v>
      </c>
      <c r="AC27" t="n">
        <v>1305409</v>
      </c>
      <c r="AD27" t="n">
        <v>1420465</v>
      </c>
      <c r="AE27" t="n">
        <v>1512744</v>
      </c>
      <c r="AF27" t="n">
        <v>1567278</v>
      </c>
    </row>
    <row r="28">
      <c r="A28" t="s">
        <v>14</v>
      </c>
      <c r="B28" t="s">
        <v>213</v>
      </c>
      <c r="C28" t="s">
        <v>129</v>
      </c>
      <c r="D28" t="s">
        <v>214</v>
      </c>
      <c r="E28" t="s">
        <v>130</v>
      </c>
      <c r="F28" t="n">
        <v>0</v>
      </c>
      <c r="G28" t="n">
        <v>292706</v>
      </c>
      <c r="H28" t="n">
        <v>381191</v>
      </c>
      <c r="I28" t="n">
        <v>453125</v>
      </c>
      <c r="J28" t="n">
        <v>543036</v>
      </c>
      <c r="K28" t="n">
        <v>643886</v>
      </c>
      <c r="L28" t="n">
        <v>776439</v>
      </c>
      <c r="M28" t="n">
        <v>855752</v>
      </c>
      <c r="N28" t="n">
        <v>805242</v>
      </c>
      <c r="O28" t="n">
        <v>922475</v>
      </c>
      <c r="P28" t="n">
        <v>995940</v>
      </c>
      <c r="Q28" t="n">
        <v>1218886</v>
      </c>
      <c r="R28" t="n">
        <v>1330346</v>
      </c>
      <c r="S28" t="n">
        <v>1573651</v>
      </c>
      <c r="T28" t="n">
        <v>1637913</v>
      </c>
      <c r="U28" t="n">
        <v>1501992</v>
      </c>
      <c r="V28" t="n">
        <v>1659433</v>
      </c>
      <c r="W28" t="n">
        <v>1752937</v>
      </c>
      <c r="X28" t="n">
        <v>1914864</v>
      </c>
      <c r="Y28" t="n">
        <v>2045614</v>
      </c>
      <c r="Z28" t="n">
        <v>2142301</v>
      </c>
      <c r="AA28" t="n">
        <v>2153123</v>
      </c>
      <c r="AB28" t="n">
        <v>2270362</v>
      </c>
      <c r="AC28" t="n">
        <v>2613716</v>
      </c>
      <c r="AD28" t="n">
        <v>2825346</v>
      </c>
      <c r="AE28" t="n">
        <v>2727348</v>
      </c>
      <c r="AF28" t="n">
        <v>2830537</v>
      </c>
    </row>
    <row r="29">
      <c r="A29" t="s">
        <v>14</v>
      </c>
      <c r="B29" t="s">
        <v>215</v>
      </c>
      <c r="C29" t="s">
        <v>129</v>
      </c>
      <c r="D29" t="s">
        <v>216</v>
      </c>
      <c r="E29" t="s">
        <v>130</v>
      </c>
      <c r="F29"/>
      <c r="G29" t="n">
        <v>187580</v>
      </c>
      <c r="H29" t="n">
        <v>248071</v>
      </c>
      <c r="I29" t="n">
        <v>300272</v>
      </c>
      <c r="J29" t="n">
        <v>341039</v>
      </c>
      <c r="K29" t="n">
        <v>405422</v>
      </c>
      <c r="L29" t="n">
        <v>484280</v>
      </c>
      <c r="M29" t="n">
        <v>557199</v>
      </c>
      <c r="N29" t="n">
        <v>509477</v>
      </c>
      <c r="O29" t="n">
        <v>580677</v>
      </c>
      <c r="P29" t="n">
        <v>615575</v>
      </c>
      <c r="Q29" t="n">
        <v>850565</v>
      </c>
      <c r="R29" t="n">
        <v>860778</v>
      </c>
      <c r="S29" t="n">
        <v>948143</v>
      </c>
      <c r="T29" t="n">
        <v>955415</v>
      </c>
      <c r="U29" t="n">
        <v>852558</v>
      </c>
      <c r="V29" t="n">
        <v>974176</v>
      </c>
      <c r="W29" t="n">
        <v>1081522</v>
      </c>
      <c r="X29" t="n">
        <v>1188783</v>
      </c>
      <c r="Y29" t="n">
        <v>1201082</v>
      </c>
      <c r="Z29" t="n">
        <v>1224927</v>
      </c>
      <c r="AA29" t="n">
        <v>1247270</v>
      </c>
      <c r="AB29" t="n">
        <v>1304591</v>
      </c>
      <c r="AC29" t="n">
        <v>1529233</v>
      </c>
      <c r="AD29" t="n">
        <v>1557628</v>
      </c>
      <c r="AE29" t="n">
        <v>1624313</v>
      </c>
      <c r="AF29" t="n">
        <v>1607014</v>
      </c>
    </row>
    <row r="30">
      <c r="A30" t="s">
        <v>14</v>
      </c>
      <c r="B30" t="s">
        <v>217</v>
      </c>
      <c r="C30" t="s">
        <v>129</v>
      </c>
      <c r="D30" t="s">
        <v>218</v>
      </c>
      <c r="E30" t="s">
        <v>130</v>
      </c>
      <c r="F30"/>
      <c r="G30" t="n">
        <v>8464</v>
      </c>
      <c r="H30" t="n">
        <v>4406</v>
      </c>
      <c r="I30" t="n">
        <v>4507</v>
      </c>
      <c r="J30" t="n">
        <v>5001</v>
      </c>
      <c r="K30" t="n">
        <v>5844</v>
      </c>
      <c r="L30" t="n">
        <v>7050</v>
      </c>
      <c r="M30" t="n">
        <v>7527</v>
      </c>
      <c r="N30" t="n">
        <v>7062</v>
      </c>
      <c r="O30" t="n">
        <v>6903</v>
      </c>
      <c r="P30" t="n">
        <v>7890</v>
      </c>
      <c r="Q30" t="n">
        <v>8374</v>
      </c>
      <c r="R30" t="n">
        <v>8923</v>
      </c>
      <c r="S30" t="n">
        <v>11165</v>
      </c>
      <c r="T30" t="n">
        <v>17543</v>
      </c>
      <c r="U30" t="n">
        <v>15850</v>
      </c>
      <c r="V30" t="n">
        <v>14822</v>
      </c>
      <c r="W30" t="n">
        <v>16296</v>
      </c>
      <c r="X30" t="n">
        <v>17654</v>
      </c>
      <c r="Y30" t="n">
        <v>18394</v>
      </c>
      <c r="Z30" t="n">
        <v>18969</v>
      </c>
      <c r="AA30" t="n">
        <v>16350</v>
      </c>
      <c r="AB30" t="n">
        <v>17350</v>
      </c>
      <c r="AC30" t="n">
        <v>19072</v>
      </c>
      <c r="AD30" t="n">
        <v>26528</v>
      </c>
      <c r="AE30" t="n">
        <v>23287</v>
      </c>
      <c r="AF30" t="n">
        <v>20378</v>
      </c>
    </row>
    <row r="31">
      <c r="A31" t="s">
        <v>14</v>
      </c>
      <c r="B31" t="s">
        <v>219</v>
      </c>
      <c r="C31" t="s">
        <v>129</v>
      </c>
      <c r="D31" t="s">
        <v>220</v>
      </c>
      <c r="E31" t="s">
        <v>130</v>
      </c>
      <c r="F31"/>
      <c r="G31" t="n">
        <v>37483</v>
      </c>
      <c r="H31" t="n">
        <v>44843</v>
      </c>
      <c r="I31" t="n">
        <v>49263</v>
      </c>
      <c r="J31" t="n">
        <v>65813</v>
      </c>
      <c r="K31" t="n">
        <v>88198</v>
      </c>
      <c r="L31" t="n">
        <v>96585</v>
      </c>
      <c r="M31" t="n">
        <v>91696</v>
      </c>
      <c r="N31" t="n">
        <v>92433</v>
      </c>
      <c r="O31" t="n">
        <v>115020</v>
      </c>
      <c r="P31" t="n">
        <v>132388</v>
      </c>
      <c r="Q31" t="n">
        <v>151215</v>
      </c>
      <c r="R31" t="n">
        <v>174389</v>
      </c>
      <c r="S31" t="n">
        <v>181592</v>
      </c>
      <c r="T31" t="n">
        <v>201971</v>
      </c>
      <c r="U31" t="n">
        <v>194556</v>
      </c>
      <c r="V31" t="n">
        <v>228344</v>
      </c>
      <c r="W31" t="n">
        <v>175157</v>
      </c>
      <c r="X31" t="n">
        <v>179672</v>
      </c>
      <c r="Y31" t="n">
        <v>214260</v>
      </c>
      <c r="Z31" t="n">
        <v>251909</v>
      </c>
      <c r="AA31" t="n">
        <v>267562</v>
      </c>
      <c r="AB31" t="n">
        <v>303180</v>
      </c>
      <c r="AC31" t="n">
        <v>386744</v>
      </c>
      <c r="AD31" t="n">
        <v>473297</v>
      </c>
      <c r="AE31" t="n">
        <v>281196</v>
      </c>
      <c r="AF31" t="n">
        <v>358643</v>
      </c>
    </row>
    <row r="32">
      <c r="A32" t="s">
        <v>14</v>
      </c>
      <c r="B32" t="s">
        <v>221</v>
      </c>
      <c r="C32" t="s">
        <v>129</v>
      </c>
      <c r="D32" t="s">
        <v>222</v>
      </c>
      <c r="E32" t="s">
        <v>130</v>
      </c>
      <c r="F32"/>
      <c r="G32" t="n">
        <v>47167</v>
      </c>
      <c r="H32" t="n">
        <v>69814</v>
      </c>
      <c r="I32" t="n">
        <v>81808</v>
      </c>
      <c r="J32" t="n">
        <v>110725</v>
      </c>
      <c r="K32" t="n">
        <v>121748</v>
      </c>
      <c r="L32" t="n">
        <v>152382</v>
      </c>
      <c r="M32" t="n">
        <v>153565</v>
      </c>
      <c r="N32" t="n">
        <v>160387</v>
      </c>
      <c r="O32" t="n">
        <v>177361</v>
      </c>
      <c r="P32" t="n">
        <v>192446</v>
      </c>
      <c r="Q32" t="n">
        <v>158075</v>
      </c>
      <c r="R32" t="n">
        <v>231769</v>
      </c>
      <c r="S32" t="n">
        <v>374389</v>
      </c>
      <c r="T32" t="n">
        <v>405344</v>
      </c>
      <c r="U32" t="n">
        <v>378261</v>
      </c>
      <c r="V32" t="n">
        <v>379804</v>
      </c>
      <c r="W32" t="n">
        <v>415402</v>
      </c>
      <c r="X32" t="n">
        <v>465626</v>
      </c>
      <c r="Y32" t="n">
        <v>544880</v>
      </c>
      <c r="Z32" t="n">
        <v>577002</v>
      </c>
      <c r="AA32" t="n">
        <v>546140</v>
      </c>
      <c r="AB32" t="n">
        <v>564011</v>
      </c>
      <c r="AC32" t="n">
        <v>586832</v>
      </c>
      <c r="AD32" t="n">
        <v>669259</v>
      </c>
      <c r="AE32" t="n">
        <v>678697</v>
      </c>
      <c r="AF32" t="n">
        <v>698131</v>
      </c>
    </row>
    <row r="33">
      <c r="A33" t="s">
        <v>14</v>
      </c>
      <c r="B33" t="s">
        <v>223</v>
      </c>
      <c r="C33" t="s">
        <v>129</v>
      </c>
      <c r="D33" t="s">
        <v>224</v>
      </c>
      <c r="E33" t="s">
        <v>130</v>
      </c>
      <c r="F33"/>
      <c r="G33" t="n">
        <v>12012</v>
      </c>
      <c r="H33" t="n">
        <v>14057</v>
      </c>
      <c r="I33" t="n">
        <v>17275</v>
      </c>
      <c r="J33" t="n">
        <v>20458</v>
      </c>
      <c r="K33" t="n">
        <v>22674</v>
      </c>
      <c r="L33" t="n">
        <v>36142</v>
      </c>
      <c r="M33" t="n">
        <v>45765</v>
      </c>
      <c r="N33" t="n">
        <v>35883</v>
      </c>
      <c r="O33" t="n">
        <v>42514</v>
      </c>
      <c r="P33" t="n">
        <v>47641</v>
      </c>
      <c r="Q33" t="n">
        <v>50657</v>
      </c>
      <c r="R33" t="n">
        <v>54487</v>
      </c>
      <c r="S33" t="n">
        <v>58362</v>
      </c>
      <c r="T33" t="n">
        <v>57640</v>
      </c>
      <c r="U33" t="n">
        <v>60767</v>
      </c>
      <c r="V33" t="n">
        <v>62287</v>
      </c>
      <c r="W33" t="n">
        <v>64560</v>
      </c>
      <c r="X33" t="n">
        <v>63129</v>
      </c>
      <c r="Y33" t="n">
        <v>66998</v>
      </c>
      <c r="Z33" t="n">
        <v>69494</v>
      </c>
      <c r="AA33" t="n">
        <v>75801</v>
      </c>
      <c r="AB33" t="n">
        <v>81230</v>
      </c>
      <c r="AC33" t="n">
        <v>91835</v>
      </c>
      <c r="AD33" t="n">
        <v>98634</v>
      </c>
      <c r="AE33" t="n">
        <v>119855</v>
      </c>
      <c r="AF33" t="n">
        <v>146371</v>
      </c>
    </row>
    <row r="34">
      <c r="A34" t="s">
        <v>14</v>
      </c>
      <c r="B34" t="s">
        <v>225</v>
      </c>
      <c r="C34" t="s">
        <v>129</v>
      </c>
      <c r="D34" t="s">
        <v>226</v>
      </c>
      <c r="E34" t="s">
        <v>130</v>
      </c>
      <c r="F34"/>
      <c r="G34" t="n">
        <v>151126</v>
      </c>
      <c r="H34" t="n">
        <v>165601</v>
      </c>
      <c r="I34" t="n">
        <v>208134</v>
      </c>
      <c r="J34" t="n">
        <v>245408</v>
      </c>
      <c r="K34" t="n">
        <v>295181</v>
      </c>
      <c r="L34" t="n">
        <v>356310</v>
      </c>
      <c r="M34" t="n">
        <v>425039</v>
      </c>
      <c r="N34" t="n">
        <v>394179</v>
      </c>
      <c r="O34" t="n">
        <v>455682</v>
      </c>
      <c r="P34" t="n">
        <v>490056</v>
      </c>
      <c r="Q34" t="n">
        <v>521889</v>
      </c>
      <c r="R34" t="n">
        <v>528944</v>
      </c>
      <c r="S34" t="n">
        <v>641498</v>
      </c>
      <c r="T34" t="n">
        <v>627122</v>
      </c>
      <c r="U34" t="n">
        <v>661602</v>
      </c>
      <c r="V34" t="n">
        <v>668815</v>
      </c>
      <c r="W34" t="n">
        <v>677674</v>
      </c>
      <c r="X34" t="n">
        <v>738178</v>
      </c>
      <c r="Y34" t="n">
        <v>773221</v>
      </c>
      <c r="Z34" t="n">
        <v>845736</v>
      </c>
      <c r="AA34" t="n">
        <v>912668</v>
      </c>
      <c r="AB34" t="n">
        <v>975517</v>
      </c>
      <c r="AC34" t="n">
        <v>1073099</v>
      </c>
      <c r="AD34" t="n">
        <v>1154036</v>
      </c>
      <c r="AE34" t="n">
        <v>925384</v>
      </c>
      <c r="AF34" t="n">
        <v>1110887</v>
      </c>
    </row>
    <row r="35">
      <c r="A35" t="s">
        <v>14</v>
      </c>
      <c r="B35" t="s">
        <v>227</v>
      </c>
      <c r="C35" t="s">
        <v>129</v>
      </c>
      <c r="D35" t="s">
        <v>228</v>
      </c>
      <c r="E35" t="s">
        <v>130</v>
      </c>
      <c r="F35" t="n">
        <v>0</v>
      </c>
      <c r="G35" t="n">
        <v>191023</v>
      </c>
      <c r="H35" t="n">
        <v>275205</v>
      </c>
      <c r="I35" t="n">
        <v>316550</v>
      </c>
      <c r="J35" t="n">
        <v>389421</v>
      </c>
      <c r="K35" t="n">
        <v>522280</v>
      </c>
      <c r="L35" t="n">
        <v>626961</v>
      </c>
      <c r="M35" t="n">
        <v>708479</v>
      </c>
      <c r="N35" t="n">
        <v>711974</v>
      </c>
      <c r="O35" t="n">
        <v>789093</v>
      </c>
      <c r="P35" t="n">
        <v>846340</v>
      </c>
      <c r="Q35" t="n">
        <v>890219</v>
      </c>
      <c r="R35" t="n">
        <v>919328</v>
      </c>
      <c r="S35" t="n">
        <v>914973</v>
      </c>
      <c r="T35" t="n">
        <v>992128</v>
      </c>
      <c r="U35" t="n">
        <v>915342</v>
      </c>
      <c r="V35" t="n">
        <v>947871</v>
      </c>
      <c r="W35" t="n">
        <v>970878</v>
      </c>
      <c r="X35" t="n">
        <v>1033946</v>
      </c>
      <c r="Y35" t="n">
        <v>1055682</v>
      </c>
      <c r="Z35" t="n">
        <v>1071088</v>
      </c>
      <c r="AA35" t="n">
        <v>1187631</v>
      </c>
      <c r="AB35" t="n">
        <v>1318880</v>
      </c>
      <c r="AC35" t="n">
        <v>1393139</v>
      </c>
      <c r="AD35" t="n">
        <v>1451152</v>
      </c>
      <c r="AE35" t="n">
        <v>1375256</v>
      </c>
      <c r="AF35" t="n">
        <v>1752377</v>
      </c>
    </row>
    <row r="36">
      <c r="A36" t="s">
        <v>14</v>
      </c>
      <c r="B36" t="s">
        <v>229</v>
      </c>
      <c r="C36" t="s">
        <v>129</v>
      </c>
      <c r="D36" t="s">
        <v>230</v>
      </c>
      <c r="E36" t="s">
        <v>130</v>
      </c>
      <c r="F36"/>
      <c r="G36" t="n">
        <v>80459</v>
      </c>
      <c r="H36" t="n">
        <v>122895</v>
      </c>
      <c r="I36" t="n">
        <v>134711</v>
      </c>
      <c r="J36" t="n">
        <v>165161</v>
      </c>
      <c r="K36" t="n">
        <v>212125</v>
      </c>
      <c r="L36" t="n">
        <v>270668</v>
      </c>
      <c r="M36" t="n">
        <v>322278</v>
      </c>
      <c r="N36" t="n">
        <v>312851</v>
      </c>
      <c r="O36" t="n">
        <v>329010</v>
      </c>
      <c r="P36" t="n">
        <v>344638</v>
      </c>
      <c r="Q36" t="n">
        <v>337675</v>
      </c>
      <c r="R36" t="n">
        <v>339454</v>
      </c>
      <c r="S36" t="n">
        <v>330702</v>
      </c>
      <c r="T36" t="n">
        <v>361176</v>
      </c>
      <c r="U36" t="n">
        <v>332730</v>
      </c>
      <c r="V36" t="n">
        <v>363100</v>
      </c>
      <c r="W36" t="n">
        <v>407053</v>
      </c>
      <c r="X36" t="n">
        <v>393342</v>
      </c>
      <c r="Y36" t="n">
        <v>403250</v>
      </c>
      <c r="Z36" t="n">
        <v>377224</v>
      </c>
      <c r="AA36" t="n">
        <v>434246</v>
      </c>
      <c r="AB36" t="n">
        <v>489432</v>
      </c>
      <c r="AC36" t="n">
        <v>518674</v>
      </c>
      <c r="AD36" t="n">
        <v>514909</v>
      </c>
      <c r="AE36" t="n">
        <v>452327</v>
      </c>
      <c r="AF36" t="n">
        <v>603100</v>
      </c>
    </row>
    <row r="37">
      <c r="A37" t="s">
        <v>14</v>
      </c>
      <c r="B37" t="s">
        <v>231</v>
      </c>
      <c r="C37" t="s">
        <v>129</v>
      </c>
      <c r="D37" t="s">
        <v>232</v>
      </c>
      <c r="E37" t="s">
        <v>130</v>
      </c>
      <c r="F37"/>
      <c r="G37" t="n">
        <v>78769</v>
      </c>
      <c r="H37" t="n">
        <v>111622</v>
      </c>
      <c r="I37" t="n">
        <v>117325</v>
      </c>
      <c r="J37" t="n">
        <v>146709</v>
      </c>
      <c r="K37" t="n">
        <v>210080</v>
      </c>
      <c r="L37" t="n">
        <v>227289</v>
      </c>
      <c r="M37" t="n">
        <v>237061</v>
      </c>
      <c r="N37" t="n">
        <v>249233</v>
      </c>
      <c r="O37" t="n">
        <v>282810</v>
      </c>
      <c r="P37" t="n">
        <v>317665</v>
      </c>
      <c r="Q37" t="n">
        <v>340739</v>
      </c>
      <c r="R37" t="n">
        <v>354507</v>
      </c>
      <c r="S37" t="n">
        <v>332458</v>
      </c>
      <c r="T37" t="n">
        <v>348298</v>
      </c>
      <c r="U37" t="n">
        <v>307957</v>
      </c>
      <c r="V37" t="n">
        <v>309818</v>
      </c>
      <c r="W37" t="n">
        <v>287518</v>
      </c>
      <c r="X37" t="n">
        <v>336237</v>
      </c>
      <c r="Y37" t="n">
        <v>332577</v>
      </c>
      <c r="Z37" t="n">
        <v>350834</v>
      </c>
      <c r="AA37" t="n">
        <v>375512</v>
      </c>
      <c r="AB37" t="n">
        <v>398048</v>
      </c>
      <c r="AC37" t="n">
        <v>389393</v>
      </c>
      <c r="AD37" t="n">
        <v>370567</v>
      </c>
      <c r="AE37" t="n">
        <v>337811</v>
      </c>
      <c r="AF37" t="n">
        <v>425419</v>
      </c>
    </row>
    <row r="38">
      <c r="A38" t="s">
        <v>14</v>
      </c>
      <c r="B38" t="s">
        <v>233</v>
      </c>
      <c r="C38" t="s">
        <v>129</v>
      </c>
      <c r="D38" t="s">
        <v>234</v>
      </c>
      <c r="E38" t="s">
        <v>130</v>
      </c>
      <c r="F38"/>
      <c r="G38" t="n">
        <v>31795</v>
      </c>
      <c r="H38" t="n">
        <v>40688</v>
      </c>
      <c r="I38" t="n">
        <v>64514</v>
      </c>
      <c r="J38" t="n">
        <v>77551</v>
      </c>
      <c r="K38" t="n">
        <v>100075</v>
      </c>
      <c r="L38" t="n">
        <v>129004</v>
      </c>
      <c r="M38" t="n">
        <v>149140</v>
      </c>
      <c r="N38" t="n">
        <v>149890</v>
      </c>
      <c r="O38" t="n">
        <v>177273</v>
      </c>
      <c r="P38" t="n">
        <v>184037</v>
      </c>
      <c r="Q38" t="n">
        <v>211805</v>
      </c>
      <c r="R38" t="n">
        <v>225367</v>
      </c>
      <c r="S38" t="n">
        <v>251813</v>
      </c>
      <c r="T38" t="n">
        <v>282654</v>
      </c>
      <c r="U38" t="n">
        <v>274655</v>
      </c>
      <c r="V38" t="n">
        <v>274953</v>
      </c>
      <c r="W38" t="n">
        <v>276307</v>
      </c>
      <c r="X38" t="n">
        <v>304367</v>
      </c>
      <c r="Y38" t="n">
        <v>319855</v>
      </c>
      <c r="Z38" t="n">
        <v>343030</v>
      </c>
      <c r="AA38" t="n">
        <v>377873</v>
      </c>
      <c r="AB38" t="n">
        <v>431400</v>
      </c>
      <c r="AC38" t="n">
        <v>485072</v>
      </c>
      <c r="AD38" t="n">
        <v>565676</v>
      </c>
      <c r="AE38" t="n">
        <v>585118</v>
      </c>
      <c r="AF38" t="n">
        <v>723858</v>
      </c>
    </row>
    <row r="39">
      <c r="A39" t="s">
        <v>14</v>
      </c>
      <c r="B39" t="s">
        <v>235</v>
      </c>
      <c r="C39" t="s">
        <v>129</v>
      </c>
      <c r="D39" t="s">
        <v>236</v>
      </c>
      <c r="E39" t="s">
        <v>130</v>
      </c>
      <c r="F39"/>
      <c r="G39" t="n">
        <v>130790</v>
      </c>
      <c r="H39" t="n">
        <v>182564</v>
      </c>
      <c r="I39" t="n">
        <v>254758</v>
      </c>
      <c r="J39" t="n">
        <v>303557</v>
      </c>
      <c r="K39" t="n">
        <v>398167</v>
      </c>
      <c r="L39" t="n">
        <v>423591</v>
      </c>
      <c r="M39" t="n">
        <v>482758</v>
      </c>
      <c r="N39" t="n">
        <v>555889</v>
      </c>
      <c r="O39" t="n">
        <v>627862</v>
      </c>
      <c r="P39" t="n">
        <v>694062</v>
      </c>
      <c r="Q39" t="n">
        <v>764216</v>
      </c>
      <c r="R39" t="n">
        <v>857743</v>
      </c>
      <c r="S39" t="n">
        <v>912926</v>
      </c>
      <c r="T39" t="n">
        <v>955438</v>
      </c>
      <c r="U39" t="n">
        <v>909313</v>
      </c>
      <c r="V39" t="n">
        <v>848999</v>
      </c>
      <c r="W39" t="n">
        <v>824756</v>
      </c>
      <c r="X39" t="n">
        <v>770435</v>
      </c>
      <c r="Y39" t="n">
        <v>800600</v>
      </c>
      <c r="Z39" t="n">
        <v>887350</v>
      </c>
      <c r="AA39" t="n">
        <v>930773</v>
      </c>
      <c r="AB39" t="n">
        <v>959459</v>
      </c>
      <c r="AC39" t="n">
        <v>976348</v>
      </c>
      <c r="AD39" t="n">
        <v>1065223</v>
      </c>
      <c r="AE39" t="n">
        <v>1069330</v>
      </c>
      <c r="AF39" t="n">
        <v>1156702</v>
      </c>
    </row>
    <row r="40">
      <c r="A40" t="s">
        <v>14</v>
      </c>
      <c r="B40" t="s">
        <v>237</v>
      </c>
      <c r="C40" t="s">
        <v>129</v>
      </c>
      <c r="D40" t="s">
        <v>238</v>
      </c>
      <c r="E40" t="s">
        <v>130</v>
      </c>
      <c r="F40"/>
      <c r="G40" t="n">
        <v>127141</v>
      </c>
      <c r="H40" t="n">
        <v>170220</v>
      </c>
      <c r="I40" t="n">
        <v>214167</v>
      </c>
      <c r="J40" t="n">
        <v>241134</v>
      </c>
      <c r="K40" t="n">
        <v>374725</v>
      </c>
      <c r="L40" t="n">
        <v>478980</v>
      </c>
      <c r="M40" t="n">
        <v>554312</v>
      </c>
      <c r="N40" t="n">
        <v>614361</v>
      </c>
      <c r="O40" t="n">
        <v>685166</v>
      </c>
      <c r="P40" t="n">
        <v>759973</v>
      </c>
      <c r="Q40" t="n">
        <v>835665</v>
      </c>
      <c r="R40" t="n">
        <v>961933</v>
      </c>
      <c r="S40" t="n">
        <v>991738</v>
      </c>
      <c r="T40" t="n">
        <v>906563</v>
      </c>
      <c r="U40" t="n">
        <v>947335</v>
      </c>
      <c r="V40" t="n">
        <v>944763</v>
      </c>
      <c r="W40" t="n">
        <v>878129</v>
      </c>
      <c r="X40" t="n">
        <v>884732</v>
      </c>
      <c r="Y40" t="n">
        <v>923565</v>
      </c>
      <c r="Z40" t="n">
        <v>986763</v>
      </c>
      <c r="AA40" t="n">
        <v>1035643</v>
      </c>
      <c r="AB40" t="n">
        <v>1102201</v>
      </c>
      <c r="AC40" t="n">
        <v>1274119</v>
      </c>
      <c r="AD40" t="n">
        <v>1441738</v>
      </c>
      <c r="AE40" t="n">
        <v>1524718</v>
      </c>
      <c r="AF40" t="n">
        <v>1560253</v>
      </c>
    </row>
    <row r="41">
      <c r="A41" t="s">
        <v>14</v>
      </c>
      <c r="B41" t="s">
        <v>239</v>
      </c>
      <c r="C41" t="s">
        <v>129</v>
      </c>
      <c r="D41" t="s">
        <v>240</v>
      </c>
      <c r="E41" t="s">
        <v>130</v>
      </c>
      <c r="F41"/>
      <c r="G41" t="n">
        <v>41344</v>
      </c>
      <c r="H41" t="n">
        <v>54575</v>
      </c>
      <c r="I41" t="n">
        <v>63242</v>
      </c>
      <c r="J41" t="n">
        <v>68514</v>
      </c>
      <c r="K41" t="n">
        <v>102630</v>
      </c>
      <c r="L41" t="n">
        <v>123226</v>
      </c>
      <c r="M41" t="n">
        <v>158211</v>
      </c>
      <c r="N41" t="n">
        <v>237329</v>
      </c>
      <c r="O41" t="n">
        <v>253088</v>
      </c>
      <c r="P41" t="n">
        <v>251641</v>
      </c>
      <c r="Q41" t="n">
        <v>292020</v>
      </c>
      <c r="R41" t="n">
        <v>334726</v>
      </c>
      <c r="S41" t="n">
        <v>287594</v>
      </c>
      <c r="T41" t="n">
        <v>268479</v>
      </c>
      <c r="U41" t="n">
        <v>357801</v>
      </c>
      <c r="V41" t="n">
        <v>408721</v>
      </c>
      <c r="W41" t="n">
        <v>380677</v>
      </c>
      <c r="X41" t="n">
        <v>360635</v>
      </c>
      <c r="Y41" t="n">
        <v>404066</v>
      </c>
      <c r="Z41" t="n">
        <v>448682</v>
      </c>
      <c r="AA41" t="n">
        <v>464383</v>
      </c>
      <c r="AB41" t="n">
        <v>447356</v>
      </c>
      <c r="AC41" t="n">
        <v>496141</v>
      </c>
      <c r="AD41" t="n">
        <v>556698</v>
      </c>
      <c r="AE41" t="n">
        <v>620087</v>
      </c>
      <c r="AF41" t="n">
        <v>653388</v>
      </c>
    </row>
    <row r="42">
      <c r="A42" t="s">
        <v>14</v>
      </c>
      <c r="B42" t="s">
        <v>241</v>
      </c>
      <c r="C42" t="s">
        <v>129</v>
      </c>
      <c r="D42" t="s">
        <v>242</v>
      </c>
      <c r="E42" t="s">
        <v>130</v>
      </c>
      <c r="F42"/>
      <c r="G42" t="n">
        <v>176192</v>
      </c>
      <c r="H42" t="n">
        <v>240879</v>
      </c>
      <c r="I42" t="n">
        <v>266904</v>
      </c>
      <c r="J42" t="n">
        <v>302573</v>
      </c>
      <c r="K42" t="n">
        <v>355523</v>
      </c>
      <c r="L42" t="n">
        <v>480063</v>
      </c>
      <c r="M42" t="n">
        <v>557421</v>
      </c>
      <c r="N42" t="n">
        <v>583071</v>
      </c>
      <c r="O42" t="n">
        <v>681889</v>
      </c>
      <c r="P42" t="n">
        <v>722975</v>
      </c>
      <c r="Q42" t="n">
        <v>761092</v>
      </c>
      <c r="R42" t="n">
        <v>803010</v>
      </c>
      <c r="S42" t="n">
        <v>899560</v>
      </c>
      <c r="T42" t="n">
        <v>864183</v>
      </c>
      <c r="U42" t="n">
        <v>861843</v>
      </c>
      <c r="V42" t="n">
        <v>801009</v>
      </c>
      <c r="W42" t="n">
        <v>781950</v>
      </c>
      <c r="X42" t="n">
        <v>884347</v>
      </c>
      <c r="Y42" t="n">
        <v>953873</v>
      </c>
      <c r="Z42" t="n">
        <v>1015271</v>
      </c>
      <c r="AA42" t="n">
        <v>1058704</v>
      </c>
      <c r="AB42" t="n">
        <v>1157988</v>
      </c>
      <c r="AC42" t="n">
        <v>1326226</v>
      </c>
      <c r="AD42" t="n">
        <v>1533393</v>
      </c>
      <c r="AE42" t="n">
        <v>1677330</v>
      </c>
      <c r="AF42" t="n">
        <v>1875280</v>
      </c>
    </row>
    <row r="43">
      <c r="A43" t="s">
        <v>14</v>
      </c>
      <c r="B43" t="s">
        <v>243</v>
      </c>
      <c r="C43" t="s">
        <v>129</v>
      </c>
      <c r="D43" t="s">
        <v>244</v>
      </c>
      <c r="E43" t="s">
        <v>130</v>
      </c>
      <c r="F43" t="n">
        <v>0</v>
      </c>
      <c r="G43" t="n">
        <v>276315</v>
      </c>
      <c r="H43" t="n">
        <v>364434</v>
      </c>
      <c r="I43" t="n">
        <v>414987</v>
      </c>
      <c r="J43" t="n">
        <v>469896</v>
      </c>
      <c r="K43" t="n">
        <v>560719</v>
      </c>
      <c r="L43" t="n">
        <v>770305</v>
      </c>
      <c r="M43" t="n">
        <v>877231</v>
      </c>
      <c r="N43" t="n">
        <v>947002</v>
      </c>
      <c r="O43" t="n">
        <v>1074850</v>
      </c>
      <c r="P43" t="n">
        <v>1126440</v>
      </c>
      <c r="Q43" t="n">
        <v>1173799</v>
      </c>
      <c r="R43" t="n">
        <v>1248350</v>
      </c>
      <c r="S43" t="n">
        <v>1428989</v>
      </c>
      <c r="T43" t="n">
        <v>1416890</v>
      </c>
      <c r="U43" t="n">
        <v>1406020</v>
      </c>
      <c r="V43" t="n">
        <v>1322535</v>
      </c>
      <c r="W43" t="n">
        <v>1322481</v>
      </c>
      <c r="X43" t="n">
        <v>1489585</v>
      </c>
      <c r="Y43" t="n">
        <v>1626954</v>
      </c>
      <c r="Z43" t="n">
        <v>1757617</v>
      </c>
      <c r="AA43" t="n">
        <v>1835452</v>
      </c>
      <c r="AB43" t="n">
        <v>1980843</v>
      </c>
      <c r="AC43" t="n">
        <v>2307077</v>
      </c>
      <c r="AD43" t="n">
        <v>2566511</v>
      </c>
      <c r="AE43" t="n">
        <v>2546388</v>
      </c>
      <c r="AF43" t="n">
        <v>2913248</v>
      </c>
    </row>
    <row r="44">
      <c r="A44" t="s">
        <v>14</v>
      </c>
      <c r="B44" t="s">
        <v>245</v>
      </c>
      <c r="C44" t="s">
        <v>129</v>
      </c>
      <c r="D44" t="s">
        <v>246</v>
      </c>
      <c r="E44" t="s">
        <v>130</v>
      </c>
      <c r="F44" t="n">
        <v>0</v>
      </c>
      <c r="G44" t="n">
        <v>5954277</v>
      </c>
      <c r="H44" t="n">
        <v>7806430</v>
      </c>
      <c r="I44" t="n">
        <v>9899109</v>
      </c>
      <c r="J44" t="n">
        <v>11584026</v>
      </c>
      <c r="K44" t="n">
        <v>13924210</v>
      </c>
      <c r="L44" t="n">
        <v>16839176</v>
      </c>
      <c r="M44" t="n">
        <v>18563543</v>
      </c>
      <c r="N44" t="n">
        <v>19021451</v>
      </c>
      <c r="O44" t="n">
        <v>21061978</v>
      </c>
      <c r="P44" t="n">
        <v>22902681</v>
      </c>
      <c r="Q44" t="n">
        <v>25295097</v>
      </c>
      <c r="R44" t="n">
        <v>27156283</v>
      </c>
      <c r="S44" t="n">
        <v>29387517</v>
      </c>
      <c r="T44" t="n">
        <v>26909970</v>
      </c>
      <c r="U44" t="n">
        <v>28382915</v>
      </c>
      <c r="V44" t="n">
        <v>30252492</v>
      </c>
      <c r="W44" t="n">
        <v>30160673</v>
      </c>
      <c r="X44" t="n">
        <v>32938993</v>
      </c>
      <c r="Y44" t="n">
        <v>35079962</v>
      </c>
      <c r="Z44" t="n">
        <v>36631054</v>
      </c>
      <c r="AA44" t="n">
        <v>37412433</v>
      </c>
      <c r="AB44" t="n">
        <v>39310061</v>
      </c>
      <c r="AC44" t="n">
        <v>42723993</v>
      </c>
      <c r="AD44" t="n">
        <v>47055572</v>
      </c>
      <c r="AE44" t="n">
        <v>47204431</v>
      </c>
      <c r="AF44" t="n">
        <v>52220024</v>
      </c>
    </row>
    <row r="45">
      <c r="A45" t="s">
        <v>14</v>
      </c>
      <c r="B45" t="s">
        <v>247</v>
      </c>
      <c r="C45" t="s">
        <v>129</v>
      </c>
      <c r="D45" t="s">
        <v>248</v>
      </c>
      <c r="E45" t="s">
        <v>130</v>
      </c>
      <c r="F45" t="n">
        <v>0</v>
      </c>
      <c r="G45" t="n">
        <v>5333443</v>
      </c>
      <c r="H45" t="n">
        <v>7098388</v>
      </c>
      <c r="I45" t="n">
        <v>9071664</v>
      </c>
      <c r="J45" t="n">
        <v>10722873</v>
      </c>
      <c r="K45" t="n">
        <v>13050843</v>
      </c>
      <c r="L45" t="n">
        <v>15728659</v>
      </c>
      <c r="M45" t="n">
        <v>17360456</v>
      </c>
      <c r="N45" t="n">
        <v>17907540</v>
      </c>
      <c r="O45" t="n">
        <v>19969957</v>
      </c>
      <c r="P45" t="n">
        <v>21778307</v>
      </c>
      <c r="Q45" t="n">
        <v>24126063</v>
      </c>
      <c r="R45" t="n">
        <v>25896900</v>
      </c>
      <c r="S45" t="n">
        <v>28167864</v>
      </c>
      <c r="T45" t="n">
        <v>25483075</v>
      </c>
      <c r="U45" t="n">
        <v>27147828</v>
      </c>
      <c r="V45" t="n">
        <v>28906575</v>
      </c>
      <c r="W45" t="n">
        <v>28688176</v>
      </c>
      <c r="X45" t="n">
        <v>31268216</v>
      </c>
      <c r="Y45" t="n">
        <v>33344207</v>
      </c>
      <c r="Z45" t="n">
        <v>34959971</v>
      </c>
      <c r="AA45" t="n">
        <v>35672927</v>
      </c>
      <c r="AB45" t="n">
        <v>37637803</v>
      </c>
      <c r="AC45" t="n">
        <v>40997277</v>
      </c>
      <c r="AD45" t="n">
        <v>45190516</v>
      </c>
      <c r="AE45" t="n">
        <v>45215229</v>
      </c>
      <c r="AF45" t="n">
        <v>50204389</v>
      </c>
    </row>
    <row r="46">
      <c r="A46" t="s">
        <v>14</v>
      </c>
      <c r="B46" t="s">
        <v>249</v>
      </c>
      <c r="C46" t="s">
        <v>129</v>
      </c>
      <c r="D46" t="s">
        <v>250</v>
      </c>
      <c r="E46" t="s">
        <v>130</v>
      </c>
      <c r="F46"/>
      <c r="G46" t="n">
        <v>100123</v>
      </c>
      <c r="H46" t="n">
        <v>123555</v>
      </c>
      <c r="I46" t="n">
        <v>148083</v>
      </c>
      <c r="J46" t="n">
        <v>167323</v>
      </c>
      <c r="K46" t="n">
        <v>205196</v>
      </c>
      <c r="L46" t="n">
        <v>290242</v>
      </c>
      <c r="M46" t="n">
        <v>319810</v>
      </c>
      <c r="N46" t="n">
        <v>363931</v>
      </c>
      <c r="O46" t="n">
        <v>392961</v>
      </c>
      <c r="P46" t="n">
        <v>403465</v>
      </c>
      <c r="Q46" t="n">
        <v>412707</v>
      </c>
      <c r="R46" t="n">
        <v>445340</v>
      </c>
      <c r="S46" t="n">
        <v>529429</v>
      </c>
      <c r="T46" t="n">
        <v>552707</v>
      </c>
      <c r="U46" t="n">
        <v>544177</v>
      </c>
      <c r="V46" t="n">
        <v>521526</v>
      </c>
      <c r="W46" t="n">
        <v>540531</v>
      </c>
      <c r="X46" t="n">
        <v>605238</v>
      </c>
      <c r="Y46" t="n">
        <v>673081</v>
      </c>
      <c r="Z46" t="n">
        <v>742346</v>
      </c>
      <c r="AA46" t="n">
        <v>776748</v>
      </c>
      <c r="AB46" t="n">
        <v>822855</v>
      </c>
      <c r="AC46" t="n">
        <v>980851</v>
      </c>
      <c r="AD46" t="n">
        <v>1033118</v>
      </c>
      <c r="AE46" t="n">
        <v>869058</v>
      </c>
      <c r="AF46" t="n">
        <v>1037968</v>
      </c>
    </row>
    <row r="47">
      <c r="A47" t="s">
        <v>14</v>
      </c>
      <c r="B47" t="s">
        <v>251</v>
      </c>
      <c r="C47" t="s">
        <v>129</v>
      </c>
      <c r="D47" t="s">
        <v>252</v>
      </c>
      <c r="E47" t="s">
        <v>130</v>
      </c>
      <c r="F47"/>
      <c r="G47" t="n">
        <v>177690</v>
      </c>
      <c r="H47" t="n">
        <v>203347</v>
      </c>
      <c r="I47" t="n">
        <v>240081</v>
      </c>
      <c r="J47" t="n">
        <v>275155</v>
      </c>
      <c r="K47" t="n">
        <v>327531</v>
      </c>
      <c r="L47" t="n">
        <v>360061</v>
      </c>
      <c r="M47" t="n">
        <v>417928</v>
      </c>
      <c r="N47" t="n">
        <v>440165</v>
      </c>
      <c r="O47" t="n">
        <v>479788</v>
      </c>
      <c r="P47" t="n">
        <v>512585</v>
      </c>
      <c r="Q47" t="n">
        <v>586577</v>
      </c>
      <c r="R47" t="n">
        <v>622208</v>
      </c>
      <c r="S47" t="n">
        <v>698712</v>
      </c>
      <c r="T47" t="n">
        <v>757618</v>
      </c>
      <c r="U47" t="n">
        <v>738160</v>
      </c>
      <c r="V47" t="n">
        <v>701792</v>
      </c>
      <c r="W47" t="n">
        <v>713948</v>
      </c>
      <c r="X47" t="n">
        <v>825193</v>
      </c>
      <c r="Y47" t="n">
        <v>994247</v>
      </c>
      <c r="Z47" t="n">
        <v>1025364</v>
      </c>
      <c r="AA47" t="n">
        <v>1005205</v>
      </c>
      <c r="AB47" t="n">
        <v>1209315</v>
      </c>
      <c r="AC47" t="n">
        <v>1325257</v>
      </c>
      <c r="AD47" t="n">
        <v>1570611</v>
      </c>
      <c r="AE47" t="n">
        <v>1443307</v>
      </c>
      <c r="AF47" t="n">
        <v>1563998</v>
      </c>
    </row>
    <row r="48">
      <c r="A48" t="s">
        <v>14</v>
      </c>
      <c r="B48" t="s">
        <v>253</v>
      </c>
      <c r="C48" t="s">
        <v>129</v>
      </c>
      <c r="D48" t="s">
        <v>254</v>
      </c>
      <c r="E48" t="s">
        <v>130</v>
      </c>
      <c r="F48" t="n">
        <v>0</v>
      </c>
      <c r="G48" t="n">
        <v>392614</v>
      </c>
      <c r="H48" t="n">
        <v>448246</v>
      </c>
      <c r="I48" t="n">
        <v>550965</v>
      </c>
      <c r="J48" t="n">
        <v>641309</v>
      </c>
      <c r="K48" t="n">
        <v>740478</v>
      </c>
      <c r="L48" t="n">
        <v>851873</v>
      </c>
      <c r="M48" t="n">
        <v>1003610</v>
      </c>
      <c r="N48" t="n">
        <v>1066928</v>
      </c>
      <c r="O48" t="n">
        <v>1176187</v>
      </c>
      <c r="P48" t="n">
        <v>1258115</v>
      </c>
      <c r="Q48" t="n">
        <v>1382231</v>
      </c>
      <c r="R48" t="n">
        <v>1429210</v>
      </c>
      <c r="S48" t="n">
        <v>1567882</v>
      </c>
      <c r="T48" t="n">
        <v>1755670</v>
      </c>
      <c r="U48" t="n">
        <v>1748644</v>
      </c>
      <c r="V48" t="n">
        <v>1683140</v>
      </c>
      <c r="W48" t="n">
        <v>1688414</v>
      </c>
      <c r="X48" t="n">
        <v>1828172</v>
      </c>
      <c r="Y48" t="n">
        <v>2083942</v>
      </c>
      <c r="Z48" t="n">
        <v>2282863</v>
      </c>
      <c r="AA48" t="n">
        <v>2278990</v>
      </c>
      <c r="AB48" t="n">
        <v>2555627</v>
      </c>
      <c r="AC48" t="n">
        <v>2795947</v>
      </c>
      <c r="AD48" t="n">
        <v>3179783</v>
      </c>
      <c r="AE48" t="n">
        <v>3362779</v>
      </c>
      <c r="AF48" t="n">
        <v>3607636</v>
      </c>
    </row>
    <row r="49">
      <c r="A49" t="s">
        <v>14</v>
      </c>
      <c r="B49" t="s">
        <v>255</v>
      </c>
      <c r="C49" t="s">
        <v>129</v>
      </c>
      <c r="D49" t="s">
        <v>256</v>
      </c>
      <c r="E49" t="s">
        <v>130</v>
      </c>
      <c r="F49"/>
      <c r="G49" t="n">
        <v>69465</v>
      </c>
      <c r="H49" t="n">
        <v>82132</v>
      </c>
      <c r="I49" t="n">
        <v>109526</v>
      </c>
      <c r="J49" t="n">
        <v>127889</v>
      </c>
      <c r="K49" t="n">
        <v>142111</v>
      </c>
      <c r="L49" t="n">
        <v>172186</v>
      </c>
      <c r="M49" t="n">
        <v>202605</v>
      </c>
      <c r="N49" t="n">
        <v>208671</v>
      </c>
      <c r="O49" t="n">
        <v>235445</v>
      </c>
      <c r="P49" t="n">
        <v>259695</v>
      </c>
      <c r="Q49" t="n">
        <v>278223</v>
      </c>
      <c r="R49" t="n">
        <v>276034</v>
      </c>
      <c r="S49" t="n">
        <v>300947</v>
      </c>
      <c r="T49" t="n">
        <v>331094</v>
      </c>
      <c r="U49" t="n">
        <v>330072</v>
      </c>
      <c r="V49" t="n">
        <v>311145</v>
      </c>
      <c r="W49" t="n">
        <v>294219</v>
      </c>
      <c r="X49" t="n">
        <v>303004</v>
      </c>
      <c r="Y49" t="n">
        <v>366252</v>
      </c>
      <c r="Z49" t="n">
        <v>364636</v>
      </c>
      <c r="AA49" t="n">
        <v>385658</v>
      </c>
      <c r="AB49" t="n">
        <v>422955</v>
      </c>
      <c r="AC49" t="n">
        <v>455839</v>
      </c>
      <c r="AD49" t="n">
        <v>518495</v>
      </c>
      <c r="AE49" t="n">
        <v>506594</v>
      </c>
      <c r="AF49" t="n">
        <v>540700</v>
      </c>
    </row>
    <row r="50">
      <c r="A50" t="s">
        <v>14</v>
      </c>
      <c r="B50" t="s">
        <v>257</v>
      </c>
      <c r="C50" t="s">
        <v>129</v>
      </c>
      <c r="D50" t="s">
        <v>258</v>
      </c>
      <c r="E50" t="s">
        <v>130</v>
      </c>
      <c r="F50" t="n">
        <v>0</v>
      </c>
      <c r="G50" t="n">
        <v>145459</v>
      </c>
      <c r="H50" t="n">
        <v>162767</v>
      </c>
      <c r="I50" t="n">
        <v>201358</v>
      </c>
      <c r="J50" t="n">
        <v>238265</v>
      </c>
      <c r="K50" t="n">
        <v>270836</v>
      </c>
      <c r="L50" t="n">
        <v>319626</v>
      </c>
      <c r="M50" t="n">
        <v>383077</v>
      </c>
      <c r="N50" t="n">
        <v>418092</v>
      </c>
      <c r="O50" t="n">
        <v>460954</v>
      </c>
      <c r="P50" t="n">
        <v>485835</v>
      </c>
      <c r="Q50" t="n">
        <v>517431</v>
      </c>
      <c r="R50" t="n">
        <v>530968</v>
      </c>
      <c r="S50" t="n">
        <v>568223</v>
      </c>
      <c r="T50" t="n">
        <v>666958</v>
      </c>
      <c r="U50" t="n">
        <v>680412</v>
      </c>
      <c r="V50" t="n">
        <v>670203</v>
      </c>
      <c r="W50" t="n">
        <v>680247</v>
      </c>
      <c r="X50" t="n">
        <v>699975</v>
      </c>
      <c r="Y50" t="n">
        <v>723443</v>
      </c>
      <c r="Z50" t="n">
        <v>892863</v>
      </c>
      <c r="AA50" t="n">
        <v>888127</v>
      </c>
      <c r="AB50" t="n">
        <v>923357</v>
      </c>
      <c r="AC50" t="n">
        <v>1014851</v>
      </c>
      <c r="AD50" t="n">
        <v>1090677</v>
      </c>
      <c r="AE50" t="n">
        <v>1412878</v>
      </c>
      <c r="AF50" t="n">
        <v>1502938</v>
      </c>
    </row>
    <row r="51">
      <c r="A51" t="s">
        <v>14</v>
      </c>
      <c r="B51" t="s">
        <v>259</v>
      </c>
      <c r="C51" t="s">
        <v>129</v>
      </c>
      <c r="D51" t="s">
        <v>260</v>
      </c>
      <c r="E51" t="s">
        <v>130</v>
      </c>
      <c r="F51"/>
      <c r="G51" t="n">
        <v>124526</v>
      </c>
      <c r="H51" t="n">
        <v>137083</v>
      </c>
      <c r="I51" t="n">
        <v>167914</v>
      </c>
      <c r="J51" t="n">
        <v>199800</v>
      </c>
      <c r="K51" t="n">
        <v>228304</v>
      </c>
      <c r="L51" t="n">
        <v>269128</v>
      </c>
      <c r="M51" t="n">
        <v>322882</v>
      </c>
      <c r="N51" t="n">
        <v>352851</v>
      </c>
      <c r="O51" t="n">
        <v>379895</v>
      </c>
      <c r="P51" t="n">
        <v>396386</v>
      </c>
      <c r="Q51" t="n">
        <v>418392</v>
      </c>
      <c r="R51" t="n">
        <v>418341</v>
      </c>
      <c r="S51" t="n">
        <v>448277</v>
      </c>
      <c r="T51" t="n">
        <v>530231</v>
      </c>
      <c r="U51" t="n">
        <v>541538</v>
      </c>
      <c r="V51" t="n">
        <v>528810</v>
      </c>
      <c r="W51" t="n">
        <v>539638</v>
      </c>
      <c r="X51" t="n">
        <v>540660</v>
      </c>
      <c r="Y51" t="n">
        <v>554211</v>
      </c>
      <c r="Z51" t="n">
        <v>706735</v>
      </c>
      <c r="AA51" t="n">
        <v>715192</v>
      </c>
      <c r="AB51" t="n">
        <v>736160</v>
      </c>
      <c r="AC51" t="n">
        <v>799402</v>
      </c>
      <c r="AD51" t="n">
        <v>834583</v>
      </c>
      <c r="AE51" t="n">
        <v>1162148</v>
      </c>
      <c r="AF51" t="n">
        <v>1234913</v>
      </c>
    </row>
    <row r="52">
      <c r="A52" t="s">
        <v>14</v>
      </c>
      <c r="B52" t="s">
        <v>261</v>
      </c>
      <c r="C52" t="s">
        <v>129</v>
      </c>
      <c r="D52" t="s">
        <v>262</v>
      </c>
      <c r="E52" t="s">
        <v>130</v>
      </c>
      <c r="F52"/>
      <c r="G52" t="n">
        <v>20933</v>
      </c>
      <c r="H52" t="n">
        <v>25684</v>
      </c>
      <c r="I52" t="n">
        <v>33444</v>
      </c>
      <c r="J52" t="n">
        <v>38465</v>
      </c>
      <c r="K52" t="n">
        <v>42532</v>
      </c>
      <c r="L52" t="n">
        <v>50498</v>
      </c>
      <c r="M52" t="n">
        <v>60195</v>
      </c>
      <c r="N52" t="n">
        <v>65241</v>
      </c>
      <c r="O52" t="n">
        <v>81059</v>
      </c>
      <c r="P52" t="n">
        <v>89449</v>
      </c>
      <c r="Q52" t="n">
        <v>99039</v>
      </c>
      <c r="R52" t="n">
        <v>112627</v>
      </c>
      <c r="S52" t="n">
        <v>119946</v>
      </c>
      <c r="T52" t="n">
        <v>136727</v>
      </c>
      <c r="U52" t="n">
        <v>138874</v>
      </c>
      <c r="V52" t="n">
        <v>141393</v>
      </c>
      <c r="W52" t="n">
        <v>140609</v>
      </c>
      <c r="X52" t="n">
        <v>159315</v>
      </c>
      <c r="Y52" t="n">
        <v>169232</v>
      </c>
      <c r="Z52" t="n">
        <v>186128</v>
      </c>
      <c r="AA52" t="n">
        <v>172935</v>
      </c>
      <c r="AB52" t="n">
        <v>187197</v>
      </c>
      <c r="AC52" t="n">
        <v>215449</v>
      </c>
      <c r="AD52" t="n">
        <v>256094</v>
      </c>
      <c r="AE52" t="n">
        <v>250730</v>
      </c>
      <c r="AF52" t="n">
        <v>268025</v>
      </c>
    </row>
    <row r="53">
      <c r="A53" t="s">
        <v>14</v>
      </c>
      <c r="B53" t="s">
        <v>263</v>
      </c>
      <c r="C53" t="s">
        <v>129</v>
      </c>
      <c r="D53" t="s">
        <v>264</v>
      </c>
      <c r="E53" t="s">
        <v>130</v>
      </c>
      <c r="F53"/>
      <c r="G53" t="n">
        <v>77982</v>
      </c>
      <c r="H53" t="n">
        <v>79043</v>
      </c>
      <c r="I53" t="n">
        <v>124468</v>
      </c>
      <c r="J53" t="n">
        <v>122773</v>
      </c>
      <c r="K53" t="n">
        <v>143318</v>
      </c>
      <c r="L53" t="n">
        <v>153835</v>
      </c>
      <c r="M53" t="n">
        <v>190304</v>
      </c>
      <c r="N53" t="n">
        <v>201161</v>
      </c>
      <c r="O53" t="n">
        <v>212653</v>
      </c>
      <c r="P53" t="n">
        <v>219087</v>
      </c>
      <c r="Q53" t="n">
        <v>231953</v>
      </c>
      <c r="R53" t="n">
        <v>239906</v>
      </c>
      <c r="S53" t="n">
        <v>276054</v>
      </c>
      <c r="T53" t="n">
        <v>288517</v>
      </c>
      <c r="U53" t="n">
        <v>293895</v>
      </c>
      <c r="V53" t="n">
        <v>298544</v>
      </c>
      <c r="W53" t="n">
        <v>295385</v>
      </c>
      <c r="X53" t="n">
        <v>323833</v>
      </c>
      <c r="Y53" t="n">
        <v>364146</v>
      </c>
      <c r="Z53" t="n">
        <v>406244</v>
      </c>
      <c r="AA53" t="n">
        <v>476592</v>
      </c>
      <c r="AB53" t="n">
        <v>593253</v>
      </c>
      <c r="AC53" t="n">
        <v>592825</v>
      </c>
      <c r="AD53" t="n">
        <v>618738</v>
      </c>
      <c r="AE53" t="n">
        <v>542657</v>
      </c>
      <c r="AF53" t="n">
        <v>635927</v>
      </c>
    </row>
    <row r="54">
      <c r="A54" t="s">
        <v>14</v>
      </c>
      <c r="B54" t="s">
        <v>265</v>
      </c>
      <c r="C54" t="s">
        <v>129</v>
      </c>
      <c r="D54" t="s">
        <v>266</v>
      </c>
      <c r="E54" t="s">
        <v>130</v>
      </c>
      <c r="F54" t="n">
        <v>0</v>
      </c>
      <c r="G54" t="n">
        <v>145218</v>
      </c>
      <c r="H54" t="n">
        <v>162957</v>
      </c>
      <c r="I54" t="n">
        <v>235762</v>
      </c>
      <c r="J54" t="n">
        <v>248088</v>
      </c>
      <c r="K54" t="n">
        <v>268720</v>
      </c>
      <c r="L54" t="n">
        <v>308986</v>
      </c>
      <c r="M54" t="n">
        <v>367596</v>
      </c>
      <c r="N54" t="n">
        <v>375859</v>
      </c>
      <c r="O54" t="n">
        <v>416120</v>
      </c>
      <c r="P54" t="n">
        <v>454563</v>
      </c>
      <c r="Q54" t="n">
        <v>480922</v>
      </c>
      <c r="R54" t="n">
        <v>488412</v>
      </c>
      <c r="S54" t="n">
        <v>538447</v>
      </c>
      <c r="T54" t="n">
        <v>561000</v>
      </c>
      <c r="U54" t="n">
        <v>555678</v>
      </c>
      <c r="V54" t="n">
        <v>557635</v>
      </c>
      <c r="W54" t="n">
        <v>546444</v>
      </c>
      <c r="X54" t="n">
        <v>596280</v>
      </c>
      <c r="Y54" t="n">
        <v>670771</v>
      </c>
      <c r="Z54" t="n">
        <v>749465</v>
      </c>
      <c r="AA54" t="n">
        <v>806973</v>
      </c>
      <c r="AB54" t="n">
        <v>931479</v>
      </c>
      <c r="AC54" t="n">
        <v>969831</v>
      </c>
      <c r="AD54" t="n">
        <v>1022113</v>
      </c>
      <c r="AE54" t="n">
        <v>963352</v>
      </c>
      <c r="AF54" t="n">
        <v>1101592</v>
      </c>
    </row>
    <row r="55">
      <c r="A55" t="s">
        <v>14</v>
      </c>
      <c r="B55" t="s">
        <v>267</v>
      </c>
      <c r="C55" t="s">
        <v>129</v>
      </c>
      <c r="D55" t="s">
        <v>268</v>
      </c>
      <c r="E55" t="s">
        <v>130</v>
      </c>
      <c r="F55"/>
      <c r="G55" t="n">
        <v>67236</v>
      </c>
      <c r="H55" t="n">
        <v>83914</v>
      </c>
      <c r="I55" t="n">
        <v>111294</v>
      </c>
      <c r="J55" t="n">
        <v>125315</v>
      </c>
      <c r="K55" t="n">
        <v>125402</v>
      </c>
      <c r="L55" t="n">
        <v>155151</v>
      </c>
      <c r="M55" t="n">
        <v>177292</v>
      </c>
      <c r="N55" t="n">
        <v>174698</v>
      </c>
      <c r="O55" t="n">
        <v>203467</v>
      </c>
      <c r="P55" t="n">
        <v>235476</v>
      </c>
      <c r="Q55" t="n">
        <v>248969</v>
      </c>
      <c r="R55" t="n">
        <v>248506</v>
      </c>
      <c r="S55" t="n">
        <v>262393</v>
      </c>
      <c r="T55" t="n">
        <v>272483</v>
      </c>
      <c r="U55" t="n">
        <v>261783</v>
      </c>
      <c r="V55" t="n">
        <v>259091</v>
      </c>
      <c r="W55" t="n">
        <v>251059</v>
      </c>
      <c r="X55" t="n">
        <v>272447</v>
      </c>
      <c r="Y55" t="n">
        <v>306625</v>
      </c>
      <c r="Z55" t="n">
        <v>343221</v>
      </c>
      <c r="AA55" t="n">
        <v>330381</v>
      </c>
      <c r="AB55" t="n">
        <v>338226</v>
      </c>
      <c r="AC55" t="n">
        <v>377006</v>
      </c>
      <c r="AD55" t="n">
        <v>403375</v>
      </c>
      <c r="AE55" t="n">
        <v>420695</v>
      </c>
      <c r="AF55" t="n">
        <v>465665</v>
      </c>
    </row>
    <row r="56">
      <c r="A56" t="s">
        <v>14</v>
      </c>
      <c r="B56" t="s">
        <v>269</v>
      </c>
      <c r="C56" t="s">
        <v>129</v>
      </c>
      <c r="D56" t="s">
        <v>270</v>
      </c>
      <c r="E56" t="s">
        <v>130</v>
      </c>
      <c r="F56"/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14</v>
      </c>
      <c r="B57" t="s">
        <v>271</v>
      </c>
      <c r="C57" t="s">
        <v>129</v>
      </c>
      <c r="D57" t="s">
        <v>272</v>
      </c>
      <c r="E57" t="s">
        <v>130</v>
      </c>
      <c r="F57" t="n">
        <v>0</v>
      </c>
      <c r="G57" t="n">
        <v>6474032</v>
      </c>
      <c r="H57" t="n">
        <v>8424896</v>
      </c>
      <c r="I57" t="n">
        <v>10664241</v>
      </c>
      <c r="J57" t="n">
        <v>12466469</v>
      </c>
      <c r="K57" t="n">
        <v>15039413</v>
      </c>
      <c r="L57" t="n">
        <v>18170029</v>
      </c>
      <c r="M57" t="n">
        <v>20121465</v>
      </c>
      <c r="N57" t="n">
        <v>20702740</v>
      </c>
      <c r="O57" t="n">
        <v>22923331</v>
      </c>
      <c r="P57" t="n">
        <v>24920769</v>
      </c>
      <c r="Q57" t="n">
        <v>27512993</v>
      </c>
      <c r="R57" t="n">
        <v>29547426</v>
      </c>
      <c r="S57" t="n">
        <v>31947137</v>
      </c>
      <c r="T57" t="n">
        <v>29572203</v>
      </c>
      <c r="U57" t="n">
        <v>31078894</v>
      </c>
      <c r="V57" t="n">
        <v>32880395</v>
      </c>
      <c r="W57" t="n">
        <v>32727216</v>
      </c>
      <c r="X57" t="n">
        <v>35651897</v>
      </c>
      <c r="Y57" t="n">
        <v>38087469</v>
      </c>
      <c r="Z57" t="n">
        <v>39900680</v>
      </c>
      <c r="AA57" t="n">
        <v>40727066</v>
      </c>
      <c r="AB57" t="n">
        <v>42967889</v>
      </c>
      <c r="AC57" t="n">
        <v>46794059</v>
      </c>
      <c r="AD57" t="n">
        <v>51677093</v>
      </c>
      <c r="AE57" t="n">
        <v>52091928</v>
      </c>
      <c r="AF57" t="n">
        <v>57387913</v>
      </c>
    </row>
    <row r="58">
      <c r="A58" t="s">
        <v>14</v>
      </c>
      <c r="B58" t="s">
        <v>273</v>
      </c>
      <c r="C58" t="s">
        <v>129</v>
      </c>
      <c r="D58" t="s">
        <v>274</v>
      </c>
      <c r="E58" t="s">
        <v>130</v>
      </c>
      <c r="F58" t="n">
        <v>0</v>
      </c>
      <c r="G58" t="n">
        <v>6474032</v>
      </c>
      <c r="H58" t="n">
        <v>8424896</v>
      </c>
      <c r="I58" t="n">
        <v>10664241</v>
      </c>
      <c r="J58" t="n">
        <v>12466469</v>
      </c>
      <c r="K58" t="n">
        <v>15039413</v>
      </c>
      <c r="L58" t="n">
        <v>18170029</v>
      </c>
      <c r="M58" t="n">
        <v>20121465</v>
      </c>
      <c r="N58" t="n">
        <v>20702740</v>
      </c>
      <c r="O58" t="n">
        <v>22923331</v>
      </c>
      <c r="P58" t="n">
        <v>24920769</v>
      </c>
      <c r="Q58" t="n">
        <v>27512993</v>
      </c>
      <c r="R58" t="n">
        <v>29547426</v>
      </c>
      <c r="S58" t="n">
        <v>31947137</v>
      </c>
      <c r="T58" t="n">
        <v>29572203</v>
      </c>
      <c r="U58" t="n">
        <v>31078894</v>
      </c>
      <c r="V58" t="n">
        <v>32880395</v>
      </c>
      <c r="W58" t="n">
        <v>32727216</v>
      </c>
      <c r="X58" t="n">
        <v>35651897</v>
      </c>
      <c r="Y58" t="n">
        <v>38087469</v>
      </c>
      <c r="Z58" t="n">
        <v>39900680</v>
      </c>
      <c r="AA58" t="n">
        <v>40727066</v>
      </c>
      <c r="AB58" t="n">
        <v>42967889</v>
      </c>
      <c r="AC58" t="n">
        <v>46794059</v>
      </c>
      <c r="AD58" t="n">
        <v>51677093</v>
      </c>
      <c r="AE58" t="n">
        <v>52091928</v>
      </c>
      <c r="AF58" t="n">
        <v>57387913</v>
      </c>
    </row>
    <row r="59">
      <c r="A59" t="s">
        <v>14</v>
      </c>
      <c r="B59" t="s">
        <v>275</v>
      </c>
      <c r="C59" t="s">
        <v>129</v>
      </c>
      <c r="D59" t="s">
        <v>276</v>
      </c>
      <c r="E59" t="s">
        <v>130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>
      <c r="A2" t="s">
        <v>16</v>
      </c>
      <c r="B2" t="s">
        <v>84</v>
      </c>
      <c r="C2" t="s">
        <v>129</v>
      </c>
      <c r="D2" t="s">
        <v>86</v>
      </c>
      <c r="E2" t="s">
        <v>130</v>
      </c>
      <c r="F2" t="n">
        <v>122144</v>
      </c>
      <c r="G2" t="n">
        <v>140489</v>
      </c>
      <c r="H2" t="n">
        <v>167720</v>
      </c>
      <c r="I2" t="n">
        <v>182021</v>
      </c>
      <c r="J2" t="n">
        <v>179290</v>
      </c>
      <c r="K2" t="n">
        <v>196851</v>
      </c>
      <c r="L2" t="n">
        <v>223664</v>
      </c>
      <c r="M2" t="n">
        <v>234451</v>
      </c>
      <c r="N2" t="n">
        <v>229311</v>
      </c>
      <c r="O2" t="n">
        <v>244472</v>
      </c>
      <c r="P2" t="n">
        <v>241805</v>
      </c>
      <c r="Q2" t="n">
        <v>243041</v>
      </c>
      <c r="R2" t="n">
        <v>259718</v>
      </c>
      <c r="S2" t="n">
        <v>270218</v>
      </c>
      <c r="T2" t="n">
        <v>263295</v>
      </c>
      <c r="U2" t="n">
        <v>264960</v>
      </c>
      <c r="V2" t="n">
        <v>297791</v>
      </c>
      <c r="W2" t="n">
        <v>324485</v>
      </c>
      <c r="X2" t="n">
        <v>350512</v>
      </c>
      <c r="Y2" t="n">
        <v>362498</v>
      </c>
      <c r="Z2" t="n">
        <v>373264</v>
      </c>
      <c r="AA2" t="n">
        <v>372671</v>
      </c>
      <c r="AB2" t="n">
        <v>398589</v>
      </c>
      <c r="AC2" t="n">
        <v>397277</v>
      </c>
      <c r="AD2" t="n">
        <v>435907</v>
      </c>
      <c r="AE2" t="n">
        <v>453523</v>
      </c>
      <c r="AF2" t="n">
        <v>458382</v>
      </c>
    </row>
    <row r="3">
      <c r="A3" t="s">
        <v>16</v>
      </c>
      <c r="B3" t="s">
        <v>163</v>
      </c>
      <c r="C3" t="s">
        <v>129</v>
      </c>
      <c r="D3" t="s">
        <v>164</v>
      </c>
      <c r="E3" t="s">
        <v>130</v>
      </c>
      <c r="F3" t="n">
        <v>16570</v>
      </c>
      <c r="G3" t="n">
        <v>17996</v>
      </c>
      <c r="H3" t="n">
        <v>27377</v>
      </c>
      <c r="I3" t="n">
        <v>18044</v>
      </c>
      <c r="J3" t="n">
        <v>19851</v>
      </c>
      <c r="K3" t="n">
        <v>18269</v>
      </c>
      <c r="L3" t="n">
        <v>20263</v>
      </c>
      <c r="M3" t="n">
        <v>20156</v>
      </c>
      <c r="N3" t="n">
        <v>20732</v>
      </c>
      <c r="O3" t="n">
        <v>21591</v>
      </c>
      <c r="P3" t="n">
        <v>23365</v>
      </c>
      <c r="Q3" t="n">
        <v>26853</v>
      </c>
      <c r="R3" t="n">
        <v>27450</v>
      </c>
      <c r="S3" t="n">
        <v>26512</v>
      </c>
      <c r="T3" t="n">
        <v>25823</v>
      </c>
      <c r="U3" t="n">
        <v>23502</v>
      </c>
      <c r="V3" t="n">
        <v>21107</v>
      </c>
      <c r="W3" t="n">
        <v>22325</v>
      </c>
      <c r="X3" t="n">
        <v>23067</v>
      </c>
      <c r="Y3" t="n">
        <v>23915</v>
      </c>
      <c r="Z3" t="n">
        <v>22851</v>
      </c>
      <c r="AA3" t="n">
        <v>20021</v>
      </c>
      <c r="AB3" t="n">
        <v>21450</v>
      </c>
      <c r="AC3" t="n">
        <v>25301</v>
      </c>
      <c r="AD3" t="n">
        <v>31261</v>
      </c>
      <c r="AE3" t="n">
        <v>30973</v>
      </c>
      <c r="AF3" t="n">
        <v>31747</v>
      </c>
    </row>
    <row r="4">
      <c r="A4" t="s">
        <v>16</v>
      </c>
      <c r="B4" t="s">
        <v>165</v>
      </c>
      <c r="C4" t="s">
        <v>129</v>
      </c>
      <c r="D4" t="s">
        <v>166</v>
      </c>
      <c r="E4" t="s">
        <v>130</v>
      </c>
      <c r="F4" t="n">
        <v>604432</v>
      </c>
      <c r="G4" t="n">
        <v>729661</v>
      </c>
      <c r="H4" t="n">
        <v>927179</v>
      </c>
      <c r="I4" t="n">
        <v>1079832</v>
      </c>
      <c r="J4" t="n">
        <v>1188945</v>
      </c>
      <c r="K4" t="n">
        <v>1423696</v>
      </c>
      <c r="L4" t="n">
        <v>1562162</v>
      </c>
      <c r="M4" t="n">
        <v>1694178</v>
      </c>
      <c r="N4" t="n">
        <v>1782958</v>
      </c>
      <c r="O4" t="n">
        <v>1943591</v>
      </c>
      <c r="P4" t="n">
        <v>2062809</v>
      </c>
      <c r="Q4" t="n">
        <v>2174307</v>
      </c>
      <c r="R4" t="n">
        <v>2371584</v>
      </c>
      <c r="S4" t="n">
        <v>2493164</v>
      </c>
      <c r="T4" t="n">
        <v>2272210</v>
      </c>
      <c r="U4" t="n">
        <v>2336264</v>
      </c>
      <c r="V4" t="n">
        <v>2533257</v>
      </c>
      <c r="W4" t="n">
        <v>2661906</v>
      </c>
      <c r="X4" t="n">
        <v>2681988</v>
      </c>
      <c r="Y4" t="n">
        <v>2843611</v>
      </c>
      <c r="Z4" t="n">
        <v>3039583</v>
      </c>
      <c r="AA4" t="n">
        <v>3277113</v>
      </c>
      <c r="AB4" t="n">
        <v>3594468</v>
      </c>
      <c r="AC4" t="n">
        <v>3991448</v>
      </c>
      <c r="AD4" t="n">
        <v>4381466</v>
      </c>
      <c r="AE4" t="n">
        <v>4412934</v>
      </c>
      <c r="AF4" t="n">
        <v>4855919</v>
      </c>
    </row>
    <row r="5">
      <c r="A5" t="s">
        <v>16</v>
      </c>
      <c r="B5" t="s">
        <v>167</v>
      </c>
      <c r="C5" t="s">
        <v>129</v>
      </c>
      <c r="D5" t="s">
        <v>168</v>
      </c>
      <c r="E5" t="s">
        <v>130</v>
      </c>
      <c r="F5" t="n">
        <v>123158</v>
      </c>
      <c r="G5" t="n">
        <v>143446</v>
      </c>
      <c r="H5" t="n">
        <v>169057</v>
      </c>
      <c r="I5" t="n">
        <v>194029</v>
      </c>
      <c r="J5" t="n">
        <v>204262</v>
      </c>
      <c r="K5" t="n">
        <v>212336</v>
      </c>
      <c r="L5" t="n">
        <v>225554</v>
      </c>
      <c r="M5" t="n">
        <v>271448</v>
      </c>
      <c r="N5" t="n">
        <v>283801</v>
      </c>
      <c r="O5" t="n">
        <v>300178</v>
      </c>
      <c r="P5" t="n">
        <v>311486</v>
      </c>
      <c r="Q5" t="n">
        <v>309366</v>
      </c>
      <c r="R5" t="n">
        <v>318087</v>
      </c>
      <c r="S5" t="n">
        <v>324015</v>
      </c>
      <c r="T5" t="n">
        <v>321244</v>
      </c>
      <c r="U5" t="n">
        <v>316344</v>
      </c>
      <c r="V5" t="n">
        <v>317394</v>
      </c>
      <c r="W5" t="n">
        <v>334732</v>
      </c>
      <c r="X5" t="n">
        <v>340405</v>
      </c>
      <c r="Y5" t="n">
        <v>346716</v>
      </c>
      <c r="Z5" t="n">
        <v>365988</v>
      </c>
      <c r="AA5" t="n">
        <v>381085</v>
      </c>
      <c r="AB5" t="n">
        <v>411673</v>
      </c>
      <c r="AC5" t="n">
        <v>450980</v>
      </c>
      <c r="AD5" t="n">
        <v>491420</v>
      </c>
      <c r="AE5" t="n">
        <v>507829</v>
      </c>
      <c r="AF5" t="n">
        <v>558382</v>
      </c>
    </row>
    <row r="6">
      <c r="A6" t="s">
        <v>16</v>
      </c>
      <c r="B6" t="s">
        <v>169</v>
      </c>
      <c r="C6" t="s">
        <v>129</v>
      </c>
      <c r="D6" t="s">
        <v>170</v>
      </c>
      <c r="E6" t="s">
        <v>130</v>
      </c>
      <c r="F6" t="n">
        <v>66203</v>
      </c>
      <c r="G6" t="n">
        <v>79983</v>
      </c>
      <c r="H6" t="n">
        <v>99936</v>
      </c>
      <c r="I6" t="n">
        <v>118047</v>
      </c>
      <c r="J6" t="n">
        <v>127291</v>
      </c>
      <c r="K6" t="n">
        <v>132528</v>
      </c>
      <c r="L6" t="n">
        <v>148982</v>
      </c>
      <c r="M6" t="n">
        <v>151110</v>
      </c>
      <c r="N6" t="n">
        <v>129731</v>
      </c>
      <c r="O6" t="n">
        <v>128464</v>
      </c>
      <c r="P6" t="n">
        <v>117305</v>
      </c>
      <c r="Q6" t="n">
        <v>109797</v>
      </c>
      <c r="R6" t="n">
        <v>109517</v>
      </c>
      <c r="S6" t="n">
        <v>109152</v>
      </c>
      <c r="T6" t="n">
        <v>97465</v>
      </c>
      <c r="U6" t="n">
        <v>94084</v>
      </c>
      <c r="V6" t="n">
        <v>104939</v>
      </c>
      <c r="W6" t="n">
        <v>108528</v>
      </c>
      <c r="X6" t="n">
        <v>105054</v>
      </c>
      <c r="Y6" t="n">
        <v>105164</v>
      </c>
      <c r="Z6" t="n">
        <v>102268</v>
      </c>
      <c r="AA6" t="n">
        <v>107612</v>
      </c>
      <c r="AB6" t="n">
        <v>116715</v>
      </c>
      <c r="AC6" t="n">
        <v>119738</v>
      </c>
      <c r="AD6" t="n">
        <v>122566</v>
      </c>
      <c r="AE6" t="n">
        <v>120280</v>
      </c>
      <c r="AF6" t="n">
        <v>122047</v>
      </c>
    </row>
    <row r="7">
      <c r="A7" t="s">
        <v>16</v>
      </c>
      <c r="B7" t="s">
        <v>171</v>
      </c>
      <c r="C7" t="s">
        <v>129</v>
      </c>
      <c r="D7" t="s">
        <v>172</v>
      </c>
      <c r="E7" t="s">
        <v>130</v>
      </c>
      <c r="F7" t="n">
        <v>44252</v>
      </c>
      <c r="G7" t="n">
        <v>52143</v>
      </c>
      <c r="H7" t="n">
        <v>63974</v>
      </c>
      <c r="I7" t="n">
        <v>71283</v>
      </c>
      <c r="J7" t="n">
        <v>75026</v>
      </c>
      <c r="K7" t="n">
        <v>87671</v>
      </c>
      <c r="L7" t="n">
        <v>101051</v>
      </c>
      <c r="M7" t="n">
        <v>112199</v>
      </c>
      <c r="N7" t="n">
        <v>127141</v>
      </c>
      <c r="O7" t="n">
        <v>138549</v>
      </c>
      <c r="P7" t="n">
        <v>141606</v>
      </c>
      <c r="Q7" t="n">
        <v>144458</v>
      </c>
      <c r="R7" t="n">
        <v>148202</v>
      </c>
      <c r="S7" t="n">
        <v>149640</v>
      </c>
      <c r="T7" t="n">
        <v>137186</v>
      </c>
      <c r="U7" t="n">
        <v>138046</v>
      </c>
      <c r="V7" t="n">
        <v>148497</v>
      </c>
      <c r="W7" t="n">
        <v>145895</v>
      </c>
      <c r="X7" t="n">
        <v>143300</v>
      </c>
      <c r="Y7" t="n">
        <v>148584</v>
      </c>
      <c r="Z7" t="n">
        <v>148562</v>
      </c>
      <c r="AA7" t="n">
        <v>158128</v>
      </c>
      <c r="AB7" t="n">
        <v>170741</v>
      </c>
      <c r="AC7" t="n">
        <v>181770</v>
      </c>
      <c r="AD7" t="n">
        <v>204305</v>
      </c>
      <c r="AE7" t="n">
        <v>208655</v>
      </c>
      <c r="AF7" t="n">
        <v>230634</v>
      </c>
    </row>
    <row r="8">
      <c r="A8" t="s">
        <v>16</v>
      </c>
      <c r="B8" t="s">
        <v>173</v>
      </c>
      <c r="C8" t="s">
        <v>129</v>
      </c>
      <c r="D8" t="s">
        <v>174</v>
      </c>
      <c r="E8" t="s">
        <v>130</v>
      </c>
      <c r="F8" t="n">
        <v>28900</v>
      </c>
      <c r="G8" t="n">
        <v>32922</v>
      </c>
      <c r="H8" t="n">
        <v>40317</v>
      </c>
      <c r="I8" t="n">
        <v>43554</v>
      </c>
      <c r="J8" t="n">
        <v>48292</v>
      </c>
      <c r="K8" t="n">
        <v>56651</v>
      </c>
      <c r="L8" t="n">
        <v>53700</v>
      </c>
      <c r="M8" t="n">
        <v>60060</v>
      </c>
      <c r="N8" t="n">
        <v>53603</v>
      </c>
      <c r="O8" t="n">
        <v>57419</v>
      </c>
      <c r="P8" t="n">
        <v>73319</v>
      </c>
      <c r="Q8" t="n">
        <v>57552</v>
      </c>
      <c r="R8" t="n">
        <v>59736</v>
      </c>
      <c r="S8" t="n">
        <v>62247</v>
      </c>
      <c r="T8" t="n">
        <v>59614</v>
      </c>
      <c r="U8" t="n">
        <v>61474</v>
      </c>
      <c r="V8" t="n">
        <v>56448</v>
      </c>
      <c r="W8" t="n">
        <v>64746</v>
      </c>
      <c r="X8" t="n">
        <v>65559</v>
      </c>
      <c r="Y8" t="n">
        <v>69916</v>
      </c>
      <c r="Z8" t="n">
        <v>66236</v>
      </c>
      <c r="AA8" t="n">
        <v>69912</v>
      </c>
      <c r="AB8" t="n">
        <v>76443</v>
      </c>
      <c r="AC8" t="n">
        <v>78164</v>
      </c>
      <c r="AD8" t="n">
        <v>78906</v>
      </c>
      <c r="AE8" t="n">
        <v>71970</v>
      </c>
      <c r="AF8" t="n">
        <v>80755</v>
      </c>
    </row>
    <row r="9">
      <c r="A9" t="s">
        <v>16</v>
      </c>
      <c r="B9" t="s">
        <v>175</v>
      </c>
      <c r="C9" t="s">
        <v>129</v>
      </c>
      <c r="D9" t="s">
        <v>176</v>
      </c>
      <c r="E9" t="s">
        <v>130</v>
      </c>
      <c r="F9" t="n">
        <v>29504</v>
      </c>
      <c r="G9" t="n">
        <v>33516</v>
      </c>
      <c r="H9" t="n">
        <v>42656</v>
      </c>
      <c r="I9" t="n">
        <v>45654</v>
      </c>
      <c r="J9" t="n">
        <v>50852</v>
      </c>
      <c r="K9" t="n">
        <v>54346</v>
      </c>
      <c r="L9" t="n">
        <v>59819</v>
      </c>
      <c r="M9" t="n">
        <v>61450</v>
      </c>
      <c r="N9" t="n">
        <v>65652</v>
      </c>
      <c r="O9" t="n">
        <v>67572</v>
      </c>
      <c r="P9" t="n">
        <v>68745</v>
      </c>
      <c r="Q9" t="n">
        <v>71710</v>
      </c>
      <c r="R9" t="n">
        <v>73107</v>
      </c>
      <c r="S9" t="n">
        <v>73623</v>
      </c>
      <c r="T9" t="n">
        <v>72650</v>
      </c>
      <c r="U9" t="n">
        <v>71694</v>
      </c>
      <c r="V9" t="n">
        <v>76798</v>
      </c>
      <c r="W9" t="n">
        <v>81038</v>
      </c>
      <c r="X9" t="n">
        <v>78985</v>
      </c>
      <c r="Y9" t="n">
        <v>84259</v>
      </c>
      <c r="Z9" t="n">
        <v>89932</v>
      </c>
      <c r="AA9" t="n">
        <v>93585</v>
      </c>
      <c r="AB9" t="n">
        <v>103120</v>
      </c>
      <c r="AC9" t="n">
        <v>113329</v>
      </c>
      <c r="AD9" t="n">
        <v>123383</v>
      </c>
      <c r="AE9" t="n">
        <v>134545</v>
      </c>
      <c r="AF9" t="n">
        <v>152586</v>
      </c>
    </row>
    <row r="10">
      <c r="A10" t="s">
        <v>16</v>
      </c>
      <c r="B10" t="s">
        <v>177</v>
      </c>
      <c r="C10" t="s">
        <v>129</v>
      </c>
      <c r="D10" t="s">
        <v>178</v>
      </c>
      <c r="E10" t="s">
        <v>130</v>
      </c>
      <c r="F10" t="n">
        <v>53896</v>
      </c>
      <c r="G10" t="n">
        <v>59013</v>
      </c>
      <c r="H10" t="n">
        <v>81704</v>
      </c>
      <c r="I10" t="n">
        <v>88534</v>
      </c>
      <c r="J10" t="n">
        <v>95840</v>
      </c>
      <c r="K10" t="n">
        <v>108599</v>
      </c>
      <c r="L10" t="n">
        <v>117286</v>
      </c>
      <c r="M10" t="n">
        <v>123860</v>
      </c>
      <c r="N10" t="n">
        <v>135928</v>
      </c>
      <c r="O10" t="n">
        <v>148468</v>
      </c>
      <c r="P10" t="n">
        <v>147419</v>
      </c>
      <c r="Q10" t="n">
        <v>167927</v>
      </c>
      <c r="R10" t="n">
        <v>175990</v>
      </c>
      <c r="S10" t="n">
        <v>181010</v>
      </c>
      <c r="T10" t="n">
        <v>185129</v>
      </c>
      <c r="U10" t="n">
        <v>189872</v>
      </c>
      <c r="V10" t="n">
        <v>205354</v>
      </c>
      <c r="W10" t="n">
        <v>219098</v>
      </c>
      <c r="X10" t="n">
        <v>201273</v>
      </c>
      <c r="Y10" t="n">
        <v>229933</v>
      </c>
      <c r="Z10" t="n">
        <v>239163</v>
      </c>
      <c r="AA10" t="n">
        <v>251291</v>
      </c>
      <c r="AB10" t="n">
        <v>269109</v>
      </c>
      <c r="AC10" t="n">
        <v>294921</v>
      </c>
      <c r="AD10" t="n">
        <v>303866</v>
      </c>
      <c r="AE10" t="n">
        <v>330144</v>
      </c>
      <c r="AF10" t="n">
        <v>363584</v>
      </c>
    </row>
    <row r="11">
      <c r="A11" t="s">
        <v>16</v>
      </c>
      <c r="B11" t="s">
        <v>179</v>
      </c>
      <c r="C11" t="s">
        <v>129</v>
      </c>
      <c r="D11" t="s">
        <v>180</v>
      </c>
      <c r="E11" t="s">
        <v>130</v>
      </c>
      <c r="F11" t="n">
        <v>24392</v>
      </c>
      <c r="G11" t="n">
        <v>25497</v>
      </c>
      <c r="H11" t="n">
        <v>39048</v>
      </c>
      <c r="I11" t="n">
        <v>42880</v>
      </c>
      <c r="J11" t="n">
        <v>44988</v>
      </c>
      <c r="K11" t="n">
        <v>54253</v>
      </c>
      <c r="L11" t="n">
        <v>57467</v>
      </c>
      <c r="M11" t="n">
        <v>62410</v>
      </c>
      <c r="N11" t="n">
        <v>70276</v>
      </c>
      <c r="O11" t="n">
        <v>80896</v>
      </c>
      <c r="P11" t="n">
        <v>78674</v>
      </c>
      <c r="Q11" t="n">
        <v>96217</v>
      </c>
      <c r="R11" t="n">
        <v>102883</v>
      </c>
      <c r="S11" t="n">
        <v>107387</v>
      </c>
      <c r="T11" t="n">
        <v>112479</v>
      </c>
      <c r="U11" t="n">
        <v>118178</v>
      </c>
      <c r="V11" t="n">
        <v>128556</v>
      </c>
      <c r="W11" t="n">
        <v>138060</v>
      </c>
      <c r="X11" t="n">
        <v>122288</v>
      </c>
      <c r="Y11" t="n">
        <v>145674</v>
      </c>
      <c r="Z11" t="n">
        <v>149231</v>
      </c>
      <c r="AA11" t="n">
        <v>157706</v>
      </c>
      <c r="AB11" t="n">
        <v>165989</v>
      </c>
      <c r="AC11" t="n">
        <v>181592</v>
      </c>
      <c r="AD11" t="n">
        <v>180483</v>
      </c>
      <c r="AE11" t="n">
        <v>195599</v>
      </c>
      <c r="AF11" t="n">
        <v>210998</v>
      </c>
    </row>
    <row r="12">
      <c r="A12" t="s">
        <v>16</v>
      </c>
      <c r="B12" t="s">
        <v>181</v>
      </c>
      <c r="C12" t="s">
        <v>129</v>
      </c>
      <c r="D12" t="s">
        <v>182</v>
      </c>
      <c r="E12" t="s">
        <v>130</v>
      </c>
      <c r="F12" t="n">
        <v>52346</v>
      </c>
      <c r="G12" t="n">
        <v>65160</v>
      </c>
      <c r="H12" t="n">
        <v>81527</v>
      </c>
      <c r="I12" t="n">
        <v>98032</v>
      </c>
      <c r="J12" t="n">
        <v>103046</v>
      </c>
      <c r="K12" t="n">
        <v>125024</v>
      </c>
      <c r="L12" t="n">
        <v>140050</v>
      </c>
      <c r="M12" t="n">
        <v>151441</v>
      </c>
      <c r="N12" t="n">
        <v>163762</v>
      </c>
      <c r="O12" t="n">
        <v>178822</v>
      </c>
      <c r="P12" t="n">
        <v>193269</v>
      </c>
      <c r="Q12" t="n">
        <v>208549</v>
      </c>
      <c r="R12" t="n">
        <v>243066</v>
      </c>
      <c r="S12" t="n">
        <v>260013</v>
      </c>
      <c r="T12" t="n">
        <v>226675</v>
      </c>
      <c r="U12" t="n">
        <v>226234</v>
      </c>
      <c r="V12" t="n">
        <v>237897</v>
      </c>
      <c r="W12" t="n">
        <v>252221</v>
      </c>
      <c r="X12" t="n">
        <v>258549</v>
      </c>
      <c r="Y12" t="n">
        <v>278041</v>
      </c>
      <c r="Z12" t="n">
        <v>311797</v>
      </c>
      <c r="AA12" t="n">
        <v>340400</v>
      </c>
      <c r="AB12" t="n">
        <v>375737</v>
      </c>
      <c r="AC12" t="n">
        <v>442414</v>
      </c>
      <c r="AD12" t="n">
        <v>483490</v>
      </c>
      <c r="AE12" t="n">
        <v>482597</v>
      </c>
      <c r="AF12" t="n">
        <v>536843</v>
      </c>
    </row>
    <row r="13">
      <c r="A13" t="s">
        <v>16</v>
      </c>
      <c r="B13" t="s">
        <v>183</v>
      </c>
      <c r="C13" t="s">
        <v>129</v>
      </c>
      <c r="D13" t="s">
        <v>184</v>
      </c>
      <c r="E13" t="s">
        <v>130</v>
      </c>
      <c r="F13" t="n">
        <v>77677</v>
      </c>
      <c r="G13" t="n">
        <v>90340</v>
      </c>
      <c r="H13" t="n">
        <v>120961</v>
      </c>
      <c r="I13" t="n">
        <v>132683</v>
      </c>
      <c r="J13" t="n">
        <v>143876</v>
      </c>
      <c r="K13" t="n">
        <v>173281</v>
      </c>
      <c r="L13" t="n">
        <v>182155</v>
      </c>
      <c r="M13" t="n">
        <v>190058</v>
      </c>
      <c r="N13" t="n">
        <v>204068</v>
      </c>
      <c r="O13" t="n">
        <v>229346</v>
      </c>
      <c r="P13" t="n">
        <v>246588</v>
      </c>
      <c r="Q13" t="n">
        <v>273521</v>
      </c>
      <c r="R13" t="n">
        <v>308853</v>
      </c>
      <c r="S13" t="n">
        <v>331290</v>
      </c>
      <c r="T13" t="n">
        <v>284321</v>
      </c>
      <c r="U13" t="n">
        <v>280772</v>
      </c>
      <c r="V13" t="n">
        <v>308881</v>
      </c>
      <c r="W13" t="n">
        <v>330260</v>
      </c>
      <c r="X13" t="n">
        <v>336703</v>
      </c>
      <c r="Y13" t="n">
        <v>352188</v>
      </c>
      <c r="Z13" t="n">
        <v>384211</v>
      </c>
      <c r="AA13" t="n">
        <v>404963</v>
      </c>
      <c r="AB13" t="n">
        <v>443957</v>
      </c>
      <c r="AC13" t="n">
        <v>498284</v>
      </c>
      <c r="AD13" t="n">
        <v>542599</v>
      </c>
      <c r="AE13" t="n">
        <v>543992</v>
      </c>
      <c r="AF13" t="n">
        <v>602718</v>
      </c>
    </row>
    <row r="14">
      <c r="A14" t="s">
        <v>16</v>
      </c>
      <c r="B14" t="s">
        <v>185</v>
      </c>
      <c r="C14" t="s">
        <v>129</v>
      </c>
      <c r="D14" t="s">
        <v>186</v>
      </c>
      <c r="E14" t="s">
        <v>130</v>
      </c>
      <c r="F14" t="n">
        <v>20297</v>
      </c>
      <c r="G14" t="n">
        <v>27380</v>
      </c>
      <c r="H14" t="n">
        <v>48813</v>
      </c>
      <c r="I14" t="n">
        <v>57061</v>
      </c>
      <c r="J14" t="n">
        <v>73089</v>
      </c>
      <c r="K14" t="n">
        <v>103286</v>
      </c>
      <c r="L14" t="n">
        <v>123511</v>
      </c>
      <c r="M14" t="n">
        <v>136564</v>
      </c>
      <c r="N14" t="n">
        <v>152951</v>
      </c>
      <c r="O14" t="n">
        <v>179979</v>
      </c>
      <c r="P14" t="n">
        <v>192705</v>
      </c>
      <c r="Q14" t="n">
        <v>197495</v>
      </c>
      <c r="R14" t="n">
        <v>218284</v>
      </c>
      <c r="S14" t="n">
        <v>227563</v>
      </c>
      <c r="T14" t="n">
        <v>200384</v>
      </c>
      <c r="U14" t="n">
        <v>228262</v>
      </c>
      <c r="V14" t="n">
        <v>246017</v>
      </c>
      <c r="W14" t="n">
        <v>238386</v>
      </c>
      <c r="X14" t="n">
        <v>225382</v>
      </c>
      <c r="Y14" t="n">
        <v>212280</v>
      </c>
      <c r="Z14" t="n">
        <v>216708</v>
      </c>
      <c r="AA14" t="n">
        <v>247543</v>
      </c>
      <c r="AB14" t="n">
        <v>274385</v>
      </c>
      <c r="AC14" t="n">
        <v>310913</v>
      </c>
      <c r="AD14" t="n">
        <v>329138</v>
      </c>
      <c r="AE14" t="n">
        <v>331609</v>
      </c>
      <c r="AF14" t="n">
        <v>347881</v>
      </c>
    </row>
    <row r="15">
      <c r="A15" t="s">
        <v>16</v>
      </c>
      <c r="B15" t="s">
        <v>187</v>
      </c>
      <c r="C15" t="s">
        <v>129</v>
      </c>
      <c r="D15" t="s">
        <v>188</v>
      </c>
      <c r="E15" t="s">
        <v>130</v>
      </c>
      <c r="F15" t="n">
        <v>54734</v>
      </c>
      <c r="G15" t="n">
        <v>73392</v>
      </c>
      <c r="H15" t="n">
        <v>104524</v>
      </c>
      <c r="I15" t="n">
        <v>129369</v>
      </c>
      <c r="J15" t="n">
        <v>157893</v>
      </c>
      <c r="K15" t="n">
        <v>231193</v>
      </c>
      <c r="L15" t="n">
        <v>250054</v>
      </c>
      <c r="M15" t="n">
        <v>269740</v>
      </c>
      <c r="N15" t="n">
        <v>286892</v>
      </c>
      <c r="O15" t="n">
        <v>327302</v>
      </c>
      <c r="P15" t="n">
        <v>340753</v>
      </c>
      <c r="Q15" t="n">
        <v>366171</v>
      </c>
      <c r="R15" t="n">
        <v>398637</v>
      </c>
      <c r="S15" t="n">
        <v>412468</v>
      </c>
      <c r="T15" t="n">
        <v>329539</v>
      </c>
      <c r="U15" t="n">
        <v>352919</v>
      </c>
      <c r="V15" t="n">
        <v>373768</v>
      </c>
      <c r="W15" t="n">
        <v>370979</v>
      </c>
      <c r="X15" t="n">
        <v>362393</v>
      </c>
      <c r="Y15" t="n">
        <v>373983</v>
      </c>
      <c r="Z15" t="n">
        <v>390341</v>
      </c>
      <c r="AA15" t="n">
        <v>441875</v>
      </c>
      <c r="AB15" t="n">
        <v>491845</v>
      </c>
      <c r="AC15" t="n">
        <v>571206</v>
      </c>
      <c r="AD15" t="n">
        <v>636587</v>
      </c>
      <c r="AE15" t="n">
        <v>645887</v>
      </c>
      <c r="AF15" t="n">
        <v>723502</v>
      </c>
    </row>
    <row r="16">
      <c r="A16" t="s">
        <v>16</v>
      </c>
      <c r="B16" t="s">
        <v>189</v>
      </c>
      <c r="C16" t="s">
        <v>129</v>
      </c>
      <c r="D16" t="s">
        <v>190</v>
      </c>
      <c r="E16" t="s">
        <v>130</v>
      </c>
      <c r="F16" t="n">
        <v>34437</v>
      </c>
      <c r="G16" t="n">
        <v>46012</v>
      </c>
      <c r="H16" t="n">
        <v>55711</v>
      </c>
      <c r="I16" t="n">
        <v>72308</v>
      </c>
      <c r="J16" t="n">
        <v>84804</v>
      </c>
      <c r="K16" t="n">
        <v>127907</v>
      </c>
      <c r="L16" t="n">
        <v>126543</v>
      </c>
      <c r="M16" t="n">
        <v>133176</v>
      </c>
      <c r="N16" t="n">
        <v>133941</v>
      </c>
      <c r="O16" t="n">
        <v>147323</v>
      </c>
      <c r="P16" t="n">
        <v>148048</v>
      </c>
      <c r="Q16" t="n">
        <v>168676</v>
      </c>
      <c r="R16" t="n">
        <v>180353</v>
      </c>
      <c r="S16" t="n">
        <v>184905</v>
      </c>
      <c r="T16" t="n">
        <v>129155</v>
      </c>
      <c r="U16" t="n">
        <v>124657</v>
      </c>
      <c r="V16" t="n">
        <v>127751</v>
      </c>
      <c r="W16" t="n">
        <v>132593</v>
      </c>
      <c r="X16" t="n">
        <v>137011</v>
      </c>
      <c r="Y16" t="n">
        <v>161703</v>
      </c>
      <c r="Z16" t="n">
        <v>173633</v>
      </c>
      <c r="AA16" t="n">
        <v>194332</v>
      </c>
      <c r="AB16" t="n">
        <v>217460</v>
      </c>
      <c r="AC16" t="n">
        <v>260293</v>
      </c>
      <c r="AD16" t="n">
        <v>307449</v>
      </c>
      <c r="AE16" t="n">
        <v>314278</v>
      </c>
      <c r="AF16" t="n">
        <v>375621</v>
      </c>
    </row>
    <row r="17">
      <c r="A17" t="s">
        <v>16</v>
      </c>
      <c r="B17" t="s">
        <v>191</v>
      </c>
      <c r="C17" t="s">
        <v>129</v>
      </c>
      <c r="D17" t="s">
        <v>192</v>
      </c>
      <c r="E17" t="s">
        <v>130</v>
      </c>
      <c r="F17" t="n">
        <v>43076</v>
      </c>
      <c r="G17" t="n">
        <v>52217</v>
      </c>
      <c r="H17" t="n">
        <v>63912</v>
      </c>
      <c r="I17" t="n">
        <v>69259</v>
      </c>
      <c r="J17" t="n">
        <v>76035</v>
      </c>
      <c r="K17" t="n">
        <v>91517</v>
      </c>
      <c r="L17" t="n">
        <v>104963</v>
      </c>
      <c r="M17" t="n">
        <v>110153</v>
      </c>
      <c r="N17" t="n">
        <v>118549</v>
      </c>
      <c r="O17" t="n">
        <v>129167</v>
      </c>
      <c r="P17" t="n">
        <v>145982</v>
      </c>
      <c r="Q17" t="n">
        <v>150655</v>
      </c>
      <c r="R17" t="n">
        <v>165041</v>
      </c>
      <c r="S17" t="n">
        <v>177152</v>
      </c>
      <c r="T17" t="n">
        <v>200258</v>
      </c>
      <c r="U17" t="n">
        <v>209177</v>
      </c>
      <c r="V17" t="n">
        <v>256437</v>
      </c>
      <c r="W17" t="n">
        <v>269837</v>
      </c>
      <c r="X17" t="n">
        <v>267993</v>
      </c>
      <c r="Y17" t="n">
        <v>288370</v>
      </c>
      <c r="Z17" t="n">
        <v>300875</v>
      </c>
      <c r="AA17" t="n">
        <v>315979</v>
      </c>
      <c r="AB17" t="n">
        <v>348402</v>
      </c>
      <c r="AC17" t="n">
        <v>355345</v>
      </c>
      <c r="AD17" t="n">
        <v>380768</v>
      </c>
      <c r="AE17" t="n">
        <v>376348</v>
      </c>
      <c r="AF17" t="n">
        <v>413542</v>
      </c>
    </row>
    <row r="18">
      <c r="A18" t="s">
        <v>16</v>
      </c>
      <c r="B18" t="s">
        <v>193</v>
      </c>
      <c r="C18" t="s">
        <v>129</v>
      </c>
      <c r="D18" t="s">
        <v>194</v>
      </c>
      <c r="E18" t="s">
        <v>130</v>
      </c>
      <c r="F18" t="n">
        <v>29895</v>
      </c>
      <c r="G18" t="n">
        <v>43911</v>
      </c>
      <c r="H18" t="n">
        <v>58014</v>
      </c>
      <c r="I18" t="n">
        <v>80318</v>
      </c>
      <c r="J18" t="n">
        <v>97111</v>
      </c>
      <c r="K18" t="n">
        <v>130441</v>
      </c>
      <c r="L18" t="n">
        <v>153413</v>
      </c>
      <c r="M18" t="n">
        <v>161938</v>
      </c>
      <c r="N18" t="n">
        <v>177283</v>
      </c>
      <c r="O18" t="n">
        <v>196058</v>
      </c>
      <c r="P18" t="n">
        <v>226492</v>
      </c>
      <c r="Q18" t="n">
        <v>260418</v>
      </c>
      <c r="R18" t="n">
        <v>306641</v>
      </c>
      <c r="S18" t="n">
        <v>338224</v>
      </c>
      <c r="T18" t="n">
        <v>263242</v>
      </c>
      <c r="U18" t="n">
        <v>290027</v>
      </c>
      <c r="V18" t="n">
        <v>335478</v>
      </c>
      <c r="W18" t="n">
        <v>367205</v>
      </c>
      <c r="X18" t="n">
        <v>405222</v>
      </c>
      <c r="Y18" t="n">
        <v>457983</v>
      </c>
      <c r="Z18" t="n">
        <v>519272</v>
      </c>
      <c r="AA18" t="n">
        <v>572000</v>
      </c>
      <c r="AB18" t="n">
        <v>630717</v>
      </c>
      <c r="AC18" t="n">
        <v>734321</v>
      </c>
      <c r="AD18" t="n">
        <v>830684</v>
      </c>
      <c r="AE18" t="n">
        <v>804818</v>
      </c>
      <c r="AF18" t="n">
        <v>867486</v>
      </c>
    </row>
    <row r="19">
      <c r="A19" t="s">
        <v>16</v>
      </c>
      <c r="B19" t="s">
        <v>195</v>
      </c>
      <c r="C19" t="s">
        <v>129</v>
      </c>
      <c r="D19" t="s">
        <v>196</v>
      </c>
      <c r="E19" t="s">
        <v>130</v>
      </c>
      <c r="F19" t="n">
        <v>30295</v>
      </c>
      <c r="G19" t="n">
        <v>37134</v>
      </c>
      <c r="H19" t="n">
        <v>43253</v>
      </c>
      <c r="I19" t="n">
        <v>54724</v>
      </c>
      <c r="J19" t="n">
        <v>60273</v>
      </c>
      <c r="K19" t="n">
        <v>74455</v>
      </c>
      <c r="L19" t="n">
        <v>84954</v>
      </c>
      <c r="M19" t="n">
        <v>92171</v>
      </c>
      <c r="N19" t="n">
        <v>102200</v>
      </c>
      <c r="O19" t="n">
        <v>109818</v>
      </c>
      <c r="P19" t="n">
        <v>118590</v>
      </c>
      <c r="Q19" t="n">
        <v>125893</v>
      </c>
      <c r="R19" t="n">
        <v>137814</v>
      </c>
      <c r="S19" t="n">
        <v>147953</v>
      </c>
      <c r="T19" t="n">
        <v>167537</v>
      </c>
      <c r="U19" t="n">
        <v>177315</v>
      </c>
      <c r="V19" t="n">
        <v>188164</v>
      </c>
      <c r="W19" t="n">
        <v>198405</v>
      </c>
      <c r="X19" t="n">
        <v>195537</v>
      </c>
      <c r="Y19" t="n">
        <v>192733</v>
      </c>
      <c r="Z19" t="n">
        <v>210870</v>
      </c>
      <c r="AA19" t="n">
        <v>233868</v>
      </c>
      <c r="AB19" t="n">
        <v>259129</v>
      </c>
      <c r="AC19" t="n">
        <v>264305</v>
      </c>
      <c r="AD19" t="n">
        <v>306275</v>
      </c>
      <c r="AE19" t="n">
        <v>320414</v>
      </c>
      <c r="AF19" t="n">
        <v>356426</v>
      </c>
    </row>
    <row r="20">
      <c r="A20" t="s">
        <v>16</v>
      </c>
      <c r="B20" t="s">
        <v>197</v>
      </c>
      <c r="C20" t="s">
        <v>129</v>
      </c>
      <c r="D20" t="s">
        <v>198</v>
      </c>
      <c r="E20" t="s">
        <v>130</v>
      </c>
      <c r="F20" t="n">
        <v>83786</v>
      </c>
      <c r="G20" t="n">
        <v>96063</v>
      </c>
      <c r="H20" t="n">
        <v>106106</v>
      </c>
      <c r="I20" t="n">
        <v>113652</v>
      </c>
      <c r="J20" t="n">
        <v>121774</v>
      </c>
      <c r="K20" t="n">
        <v>128679</v>
      </c>
      <c r="L20" t="n">
        <v>136551</v>
      </c>
      <c r="M20" t="n">
        <v>151239</v>
      </c>
      <c r="N20" t="n">
        <v>155811</v>
      </c>
      <c r="O20" t="n">
        <v>168380</v>
      </c>
      <c r="P20" t="n">
        <v>169621</v>
      </c>
      <c r="Q20" t="n">
        <v>179593</v>
      </c>
      <c r="R20" t="n">
        <v>175861</v>
      </c>
      <c r="S20" t="n">
        <v>178811</v>
      </c>
      <c r="T20" t="n">
        <v>179186</v>
      </c>
      <c r="U20" t="n">
        <v>187270</v>
      </c>
      <c r="V20" t="n">
        <v>189045</v>
      </c>
      <c r="W20" t="n">
        <v>196354</v>
      </c>
      <c r="X20" t="n">
        <v>195231</v>
      </c>
      <c r="Y20" t="n">
        <v>202012</v>
      </c>
      <c r="Z20" t="n">
        <v>202567</v>
      </c>
      <c r="AA20" t="n">
        <v>212125</v>
      </c>
      <c r="AB20" t="n">
        <v>220310</v>
      </c>
      <c r="AC20" t="n">
        <v>230249</v>
      </c>
      <c r="AD20" t="n">
        <v>245403</v>
      </c>
      <c r="AE20" t="n">
        <v>236444</v>
      </c>
      <c r="AF20" t="n">
        <v>277166</v>
      </c>
    </row>
    <row r="21">
      <c r="A21" t="s">
        <v>16</v>
      </c>
      <c r="B21" t="s">
        <v>199</v>
      </c>
      <c r="C21" t="s">
        <v>129</v>
      </c>
      <c r="D21" t="s">
        <v>200</v>
      </c>
      <c r="E21" t="s">
        <v>130</v>
      </c>
      <c r="F21" t="n">
        <v>124302</v>
      </c>
      <c r="G21" t="n">
        <v>139778</v>
      </c>
      <c r="H21" t="n">
        <v>158875</v>
      </c>
      <c r="I21" t="n">
        <v>175499</v>
      </c>
      <c r="J21" t="n">
        <v>190467</v>
      </c>
      <c r="K21" t="n">
        <v>204209</v>
      </c>
      <c r="L21" t="n">
        <v>220800</v>
      </c>
      <c r="M21" t="n">
        <v>243470</v>
      </c>
      <c r="N21" t="n">
        <v>260236</v>
      </c>
      <c r="O21" t="n">
        <v>283471</v>
      </c>
      <c r="P21" t="n">
        <v>298815</v>
      </c>
      <c r="Q21" t="n">
        <v>317935</v>
      </c>
      <c r="R21" t="n">
        <v>324161</v>
      </c>
      <c r="S21" t="n">
        <v>335329</v>
      </c>
      <c r="T21" t="n">
        <v>337138</v>
      </c>
      <c r="U21" t="n">
        <v>360914</v>
      </c>
      <c r="V21" t="n">
        <v>361818</v>
      </c>
      <c r="W21" t="n">
        <v>373595</v>
      </c>
      <c r="X21" t="n">
        <v>374071</v>
      </c>
      <c r="Y21" t="n">
        <v>380621</v>
      </c>
      <c r="Z21" t="n">
        <v>386042</v>
      </c>
      <c r="AA21" t="n">
        <v>406444</v>
      </c>
      <c r="AB21" t="n">
        <v>426089</v>
      </c>
      <c r="AC21" t="n">
        <v>454908</v>
      </c>
      <c r="AD21" t="n">
        <v>488369</v>
      </c>
      <c r="AE21" t="n">
        <v>482121</v>
      </c>
      <c r="AF21" t="n">
        <v>517337</v>
      </c>
    </row>
    <row r="22">
      <c r="A22" t="s">
        <v>16</v>
      </c>
      <c r="B22" t="s">
        <v>201</v>
      </c>
      <c r="C22" t="s">
        <v>129</v>
      </c>
      <c r="D22" t="s">
        <v>202</v>
      </c>
      <c r="E22" t="s">
        <v>130</v>
      </c>
      <c r="F22" t="n">
        <v>40516</v>
      </c>
      <c r="G22" t="n">
        <v>43715</v>
      </c>
      <c r="H22" t="n">
        <v>52769</v>
      </c>
      <c r="I22" t="n">
        <v>61847</v>
      </c>
      <c r="J22" t="n">
        <v>68693</v>
      </c>
      <c r="K22" t="n">
        <v>75530</v>
      </c>
      <c r="L22" t="n">
        <v>84249</v>
      </c>
      <c r="M22" t="n">
        <v>92231</v>
      </c>
      <c r="N22" t="n">
        <v>104425</v>
      </c>
      <c r="O22" t="n">
        <v>115091</v>
      </c>
      <c r="P22" t="n">
        <v>129194</v>
      </c>
      <c r="Q22" t="n">
        <v>138342</v>
      </c>
      <c r="R22" t="n">
        <v>148300</v>
      </c>
      <c r="S22" t="n">
        <v>156518</v>
      </c>
      <c r="T22" t="n">
        <v>157952</v>
      </c>
      <c r="U22" t="n">
        <v>173644</v>
      </c>
      <c r="V22" t="n">
        <v>172773</v>
      </c>
      <c r="W22" t="n">
        <v>177241</v>
      </c>
      <c r="X22" t="n">
        <v>178840</v>
      </c>
      <c r="Y22" t="n">
        <v>178609</v>
      </c>
      <c r="Z22" t="n">
        <v>183475</v>
      </c>
      <c r="AA22" t="n">
        <v>194319</v>
      </c>
      <c r="AB22" t="n">
        <v>205779</v>
      </c>
      <c r="AC22" t="n">
        <v>224659</v>
      </c>
      <c r="AD22" t="n">
        <v>242966</v>
      </c>
      <c r="AE22" t="n">
        <v>245677</v>
      </c>
      <c r="AF22" t="n">
        <v>240171</v>
      </c>
    </row>
    <row r="23">
      <c r="A23" t="s">
        <v>16</v>
      </c>
      <c r="B23" t="s">
        <v>203</v>
      </c>
      <c r="C23" t="s">
        <v>129</v>
      </c>
      <c r="D23" t="s">
        <v>204</v>
      </c>
      <c r="E23" t="s">
        <v>130</v>
      </c>
      <c r="F23" t="n">
        <v>132222</v>
      </c>
      <c r="G23" t="n">
        <v>153115</v>
      </c>
      <c r="H23" t="n">
        <v>186692</v>
      </c>
      <c r="I23" t="n">
        <v>224900</v>
      </c>
      <c r="J23" t="n">
        <v>231472</v>
      </c>
      <c r="K23" t="n">
        <v>282460</v>
      </c>
      <c r="L23" t="n">
        <v>333114</v>
      </c>
      <c r="M23" t="n">
        <v>364857</v>
      </c>
      <c r="N23" t="n">
        <v>425136</v>
      </c>
      <c r="O23" t="n">
        <v>499521</v>
      </c>
      <c r="P23" t="n">
        <v>602946</v>
      </c>
      <c r="Q23" t="n">
        <v>647290</v>
      </c>
      <c r="R23" t="n">
        <v>607734</v>
      </c>
      <c r="S23" t="n">
        <v>599837</v>
      </c>
      <c r="T23" t="n">
        <v>581196</v>
      </c>
      <c r="U23" t="n">
        <v>544382</v>
      </c>
      <c r="V23" t="n">
        <v>564571</v>
      </c>
      <c r="W23" t="n">
        <v>581077</v>
      </c>
      <c r="X23" t="n">
        <v>585663</v>
      </c>
      <c r="Y23" t="n">
        <v>571531</v>
      </c>
      <c r="Z23" t="n">
        <v>581424</v>
      </c>
      <c r="AA23" t="n">
        <v>569823</v>
      </c>
      <c r="AB23" t="n">
        <v>652500</v>
      </c>
      <c r="AC23" t="n">
        <v>731870</v>
      </c>
      <c r="AD23" t="n">
        <v>890118</v>
      </c>
      <c r="AE23" t="n">
        <v>947459</v>
      </c>
      <c r="AF23" t="n">
        <v>1032013</v>
      </c>
    </row>
    <row r="24">
      <c r="A24" t="s">
        <v>16</v>
      </c>
      <c r="B24" t="s">
        <v>205</v>
      </c>
      <c r="C24" t="s">
        <v>129</v>
      </c>
      <c r="D24" t="s">
        <v>206</v>
      </c>
      <c r="E24" t="s">
        <v>130</v>
      </c>
      <c r="F24" t="n">
        <v>254613</v>
      </c>
      <c r="G24" t="n">
        <v>328570</v>
      </c>
      <c r="H24" t="n">
        <v>423902</v>
      </c>
      <c r="I24" t="n">
        <v>501093</v>
      </c>
      <c r="J24" t="n">
        <v>535407</v>
      </c>
      <c r="K24" t="n">
        <v>652678</v>
      </c>
      <c r="L24" t="n">
        <v>771160</v>
      </c>
      <c r="M24" t="n">
        <v>833059</v>
      </c>
      <c r="N24" t="n">
        <v>949042</v>
      </c>
      <c r="O24" t="n">
        <v>1086230</v>
      </c>
      <c r="P24" t="n">
        <v>1137327</v>
      </c>
      <c r="Q24" t="n">
        <v>1264322</v>
      </c>
      <c r="R24" t="n">
        <v>1387094</v>
      </c>
      <c r="S24" t="n">
        <v>1495407</v>
      </c>
      <c r="T24" t="n">
        <v>1444173</v>
      </c>
      <c r="U24" t="n">
        <v>1439450</v>
      </c>
      <c r="V24" t="n">
        <v>1516611</v>
      </c>
      <c r="W24" t="n">
        <v>1586830</v>
      </c>
      <c r="X24" t="n">
        <v>1606625</v>
      </c>
      <c r="Y24" t="n">
        <v>1653319</v>
      </c>
      <c r="Z24" t="n">
        <v>1660448</v>
      </c>
      <c r="AA24" t="n">
        <v>1736154</v>
      </c>
      <c r="AB24" t="n">
        <v>1879837</v>
      </c>
      <c r="AC24" t="n">
        <v>2038371</v>
      </c>
      <c r="AD24" t="n">
        <v>2289228</v>
      </c>
      <c r="AE24" t="n">
        <v>2288449</v>
      </c>
      <c r="AF24" t="n">
        <v>2444290</v>
      </c>
    </row>
    <row r="25">
      <c r="A25" t="s">
        <v>16</v>
      </c>
      <c r="B25" t="s">
        <v>207</v>
      </c>
      <c r="C25" t="s">
        <v>129</v>
      </c>
      <c r="D25" t="s">
        <v>208</v>
      </c>
      <c r="E25" t="s">
        <v>130</v>
      </c>
      <c r="F25" t="n">
        <v>18809</v>
      </c>
      <c r="G25" t="n">
        <v>26832</v>
      </c>
      <c r="H25" t="n">
        <v>39518</v>
      </c>
      <c r="I25" t="n">
        <v>48143</v>
      </c>
      <c r="J25" t="n">
        <v>53970</v>
      </c>
      <c r="K25" t="n">
        <v>71960</v>
      </c>
      <c r="L25" t="n">
        <v>84038</v>
      </c>
      <c r="M25" t="n">
        <v>89961</v>
      </c>
      <c r="N25" t="n">
        <v>109408</v>
      </c>
      <c r="O25" t="n">
        <v>136930</v>
      </c>
      <c r="P25" t="n">
        <v>130684</v>
      </c>
      <c r="Q25" t="n">
        <v>143115</v>
      </c>
      <c r="R25" t="n">
        <v>162452</v>
      </c>
      <c r="S25" t="n">
        <v>171911</v>
      </c>
      <c r="T25" t="n">
        <v>162043</v>
      </c>
      <c r="U25" t="n">
        <v>145774</v>
      </c>
      <c r="V25" t="n">
        <v>167903</v>
      </c>
      <c r="W25" t="n">
        <v>170696</v>
      </c>
      <c r="X25" t="n">
        <v>171913</v>
      </c>
      <c r="Y25" t="n">
        <v>183655</v>
      </c>
      <c r="Z25" t="n">
        <v>183562</v>
      </c>
      <c r="AA25" t="n">
        <v>200263</v>
      </c>
      <c r="AB25" t="n">
        <v>222476</v>
      </c>
      <c r="AC25" t="n">
        <v>241890</v>
      </c>
      <c r="AD25" t="n">
        <v>274734</v>
      </c>
      <c r="AE25" t="n">
        <v>262319</v>
      </c>
      <c r="AF25" t="n">
        <v>283486</v>
      </c>
    </row>
    <row r="26">
      <c r="A26" t="s">
        <v>16</v>
      </c>
      <c r="B26" t="s">
        <v>209</v>
      </c>
      <c r="C26" t="s">
        <v>129</v>
      </c>
      <c r="D26" t="s">
        <v>210</v>
      </c>
      <c r="E26" t="s">
        <v>130</v>
      </c>
      <c r="F26" t="n">
        <v>131446</v>
      </c>
      <c r="G26" t="n">
        <v>167640</v>
      </c>
      <c r="H26" t="n">
        <v>222480</v>
      </c>
      <c r="I26" t="n">
        <v>259504</v>
      </c>
      <c r="J26" t="n">
        <v>275845</v>
      </c>
      <c r="K26" t="n">
        <v>332725</v>
      </c>
      <c r="L26" t="n">
        <v>388604</v>
      </c>
      <c r="M26" t="n">
        <v>408747</v>
      </c>
      <c r="N26" t="n">
        <v>465609</v>
      </c>
      <c r="O26" t="n">
        <v>516945</v>
      </c>
      <c r="P26" t="n">
        <v>537585</v>
      </c>
      <c r="Q26" t="n">
        <v>606465</v>
      </c>
      <c r="R26" t="n">
        <v>664509</v>
      </c>
      <c r="S26" t="n">
        <v>716043</v>
      </c>
      <c r="T26" t="n">
        <v>677433</v>
      </c>
      <c r="U26" t="n">
        <v>713197</v>
      </c>
      <c r="V26" t="n">
        <v>705969</v>
      </c>
      <c r="W26" t="n">
        <v>735156</v>
      </c>
      <c r="X26" t="n">
        <v>728697</v>
      </c>
      <c r="Y26" t="n">
        <v>727020</v>
      </c>
      <c r="Z26" t="n">
        <v>747728</v>
      </c>
      <c r="AA26" t="n">
        <v>764457</v>
      </c>
      <c r="AB26" t="n">
        <v>810090</v>
      </c>
      <c r="AC26" t="n">
        <v>880443</v>
      </c>
      <c r="AD26" t="n">
        <v>990192</v>
      </c>
      <c r="AE26" t="n">
        <v>1017519</v>
      </c>
      <c r="AF26" t="n">
        <v>1107892</v>
      </c>
    </row>
    <row r="27">
      <c r="A27" t="s">
        <v>16</v>
      </c>
      <c r="B27" t="s">
        <v>211</v>
      </c>
      <c r="C27" t="s">
        <v>129</v>
      </c>
      <c r="D27" t="s">
        <v>212</v>
      </c>
      <c r="E27" t="s">
        <v>130</v>
      </c>
      <c r="F27" t="n">
        <v>104358</v>
      </c>
      <c r="G27" t="n">
        <v>134098</v>
      </c>
      <c r="H27" t="n">
        <v>161904</v>
      </c>
      <c r="I27" t="n">
        <v>193446</v>
      </c>
      <c r="J27" t="n">
        <v>205592</v>
      </c>
      <c r="K27" t="n">
        <v>247993</v>
      </c>
      <c r="L27" t="n">
        <v>298518</v>
      </c>
      <c r="M27" t="n">
        <v>334351</v>
      </c>
      <c r="N27" t="n">
        <v>374025</v>
      </c>
      <c r="O27" t="n">
        <v>432355</v>
      </c>
      <c r="P27" t="n">
        <v>469058</v>
      </c>
      <c r="Q27" t="n">
        <v>514742</v>
      </c>
      <c r="R27" t="n">
        <v>560133</v>
      </c>
      <c r="S27" t="n">
        <v>607453</v>
      </c>
      <c r="T27" t="n">
        <v>604697</v>
      </c>
      <c r="U27" t="n">
        <v>580479</v>
      </c>
      <c r="V27" t="n">
        <v>642739</v>
      </c>
      <c r="W27" t="n">
        <v>680978</v>
      </c>
      <c r="X27" t="n">
        <v>706015</v>
      </c>
      <c r="Y27" t="n">
        <v>742644</v>
      </c>
      <c r="Z27" t="n">
        <v>729158</v>
      </c>
      <c r="AA27" t="n">
        <v>771434</v>
      </c>
      <c r="AB27" t="n">
        <v>847271</v>
      </c>
      <c r="AC27" t="n">
        <v>916038</v>
      </c>
      <c r="AD27" t="n">
        <v>1024302</v>
      </c>
      <c r="AE27" t="n">
        <v>1008611</v>
      </c>
      <c r="AF27" t="n">
        <v>1052912</v>
      </c>
    </row>
    <row r="28">
      <c r="A28" t="s">
        <v>16</v>
      </c>
      <c r="B28" t="s">
        <v>213</v>
      </c>
      <c r="C28" t="s">
        <v>129</v>
      </c>
      <c r="D28" t="s">
        <v>214</v>
      </c>
      <c r="E28" t="s">
        <v>130</v>
      </c>
      <c r="F28" t="n">
        <v>200265</v>
      </c>
      <c r="G28" t="n">
        <v>233280</v>
      </c>
      <c r="H28" t="n">
        <v>297772</v>
      </c>
      <c r="I28" t="n">
        <v>342242</v>
      </c>
      <c r="J28" t="n">
        <v>372439</v>
      </c>
      <c r="K28" t="n">
        <v>421433</v>
      </c>
      <c r="L28" t="n">
        <v>476594</v>
      </c>
      <c r="M28" t="n">
        <v>517611</v>
      </c>
      <c r="N28" t="n">
        <v>548821</v>
      </c>
      <c r="O28" t="n">
        <v>645485</v>
      </c>
      <c r="P28" t="n">
        <v>688681</v>
      </c>
      <c r="Q28" t="n">
        <v>724880</v>
      </c>
      <c r="R28" t="n">
        <v>776864</v>
      </c>
      <c r="S28" t="n">
        <v>793442</v>
      </c>
      <c r="T28" t="n">
        <v>777895</v>
      </c>
      <c r="U28" t="n">
        <v>780651</v>
      </c>
      <c r="V28" t="n">
        <v>850899</v>
      </c>
      <c r="W28" t="n">
        <v>871249</v>
      </c>
      <c r="X28" t="n">
        <v>900383</v>
      </c>
      <c r="Y28" t="n">
        <v>957894</v>
      </c>
      <c r="Z28" t="n">
        <v>992322</v>
      </c>
      <c r="AA28" t="n">
        <v>1058581</v>
      </c>
      <c r="AB28" t="n">
        <v>1145118</v>
      </c>
      <c r="AC28" t="n">
        <v>1240349</v>
      </c>
      <c r="AD28" t="n">
        <v>1283205</v>
      </c>
      <c r="AE28" t="n">
        <v>1377126</v>
      </c>
      <c r="AF28" t="n">
        <v>1440789</v>
      </c>
    </row>
    <row r="29">
      <c r="A29" t="s">
        <v>16</v>
      </c>
      <c r="B29" t="s">
        <v>215</v>
      </c>
      <c r="C29" t="s">
        <v>129</v>
      </c>
      <c r="D29" t="s">
        <v>216</v>
      </c>
      <c r="E29" t="s">
        <v>130</v>
      </c>
      <c r="F29" t="n">
        <v>75760</v>
      </c>
      <c r="G29" t="n">
        <v>88113</v>
      </c>
      <c r="H29" t="n">
        <v>122207</v>
      </c>
      <c r="I29" t="n">
        <v>142203</v>
      </c>
      <c r="J29" t="n">
        <v>149118</v>
      </c>
      <c r="K29" t="n">
        <v>172894</v>
      </c>
      <c r="L29" t="n">
        <v>195943</v>
      </c>
      <c r="M29" t="n">
        <v>320548</v>
      </c>
      <c r="N29" t="n">
        <v>348618</v>
      </c>
      <c r="O29" t="n">
        <v>402810</v>
      </c>
      <c r="P29" t="n">
        <v>446208</v>
      </c>
      <c r="Q29" t="n">
        <v>464803</v>
      </c>
      <c r="R29" t="n">
        <v>497835</v>
      </c>
      <c r="S29" t="n">
        <v>392885</v>
      </c>
      <c r="T29" t="n">
        <v>385499</v>
      </c>
      <c r="U29" t="n">
        <v>382309</v>
      </c>
      <c r="V29" t="n">
        <v>432240</v>
      </c>
      <c r="W29" t="n">
        <v>453046</v>
      </c>
      <c r="X29" t="n">
        <v>481670</v>
      </c>
      <c r="Y29" t="n">
        <v>543465</v>
      </c>
      <c r="Z29" t="n">
        <v>558214</v>
      </c>
      <c r="AA29" t="n">
        <v>603350</v>
      </c>
      <c r="AB29" t="n">
        <v>664090</v>
      </c>
      <c r="AC29" t="n">
        <v>713581</v>
      </c>
      <c r="AD29" t="n">
        <v>707682</v>
      </c>
      <c r="AE29" t="n">
        <v>798593</v>
      </c>
      <c r="AF29" t="n">
        <v>825348</v>
      </c>
    </row>
    <row r="30">
      <c r="A30" t="s">
        <v>16</v>
      </c>
      <c r="B30" t="s">
        <v>217</v>
      </c>
      <c r="C30" t="s">
        <v>129</v>
      </c>
      <c r="D30" t="s">
        <v>218</v>
      </c>
      <c r="E30" t="s">
        <v>130</v>
      </c>
      <c r="F30" t="n">
        <v>2569</v>
      </c>
      <c r="G30" t="n">
        <v>2900</v>
      </c>
      <c r="H30" t="n">
        <v>3266</v>
      </c>
      <c r="I30" t="n">
        <v>3335</v>
      </c>
      <c r="J30" t="n">
        <v>3501</v>
      </c>
      <c r="K30" t="n">
        <v>3642</v>
      </c>
      <c r="L30" t="n">
        <v>3628</v>
      </c>
      <c r="M30" t="n">
        <v>3574</v>
      </c>
      <c r="N30" t="n">
        <v>3576</v>
      </c>
      <c r="O30" t="n">
        <v>2990</v>
      </c>
      <c r="P30" t="n">
        <v>3698</v>
      </c>
      <c r="Q30" t="n">
        <v>3882</v>
      </c>
      <c r="R30" t="n">
        <v>4185</v>
      </c>
      <c r="S30" t="n">
        <v>4005</v>
      </c>
      <c r="T30" t="n">
        <v>3685</v>
      </c>
      <c r="U30" t="n">
        <v>3604</v>
      </c>
      <c r="V30" t="n">
        <v>2942</v>
      </c>
      <c r="W30" t="n">
        <v>2796</v>
      </c>
      <c r="X30" t="n">
        <v>3219</v>
      </c>
      <c r="Y30" t="n">
        <v>2858</v>
      </c>
      <c r="Z30" t="n">
        <v>3043</v>
      </c>
      <c r="AA30" t="n">
        <v>2971</v>
      </c>
      <c r="AB30" t="n">
        <v>3498</v>
      </c>
      <c r="AC30" t="n">
        <v>3641</v>
      </c>
      <c r="AD30" t="n">
        <v>4405</v>
      </c>
      <c r="AE30" t="n">
        <v>4098</v>
      </c>
      <c r="AF30" t="n">
        <v>4158</v>
      </c>
    </row>
    <row r="31">
      <c r="A31" t="s">
        <v>16</v>
      </c>
      <c r="B31" t="s">
        <v>219</v>
      </c>
      <c r="C31" t="s">
        <v>129</v>
      </c>
      <c r="D31" t="s">
        <v>220</v>
      </c>
      <c r="E31" t="s">
        <v>130</v>
      </c>
      <c r="F31" t="n">
        <v>8169</v>
      </c>
      <c r="G31" t="n">
        <v>9770</v>
      </c>
      <c r="H31" t="n">
        <v>15044</v>
      </c>
      <c r="I31" t="n">
        <v>16475</v>
      </c>
      <c r="J31" t="n">
        <v>18535</v>
      </c>
      <c r="K31" t="n">
        <v>20475</v>
      </c>
      <c r="L31" t="n">
        <v>18492</v>
      </c>
      <c r="M31" t="n">
        <v>19999</v>
      </c>
      <c r="N31" t="n">
        <v>23495</v>
      </c>
      <c r="O31" t="n">
        <v>31637</v>
      </c>
      <c r="P31" t="n">
        <v>30573</v>
      </c>
      <c r="Q31" t="n">
        <v>26028</v>
      </c>
      <c r="R31" t="n">
        <v>25927</v>
      </c>
      <c r="S31" t="n">
        <v>25967</v>
      </c>
      <c r="T31" t="n">
        <v>24125</v>
      </c>
      <c r="U31" t="n">
        <v>23946</v>
      </c>
      <c r="V31" t="n">
        <v>27845</v>
      </c>
      <c r="W31" t="n">
        <v>16615</v>
      </c>
      <c r="X31" t="n">
        <v>20672</v>
      </c>
      <c r="Y31" t="n">
        <v>8748</v>
      </c>
      <c r="Z31" t="n">
        <v>20287</v>
      </c>
      <c r="AA31" t="n">
        <v>17586</v>
      </c>
      <c r="AB31" t="n">
        <v>15330</v>
      </c>
      <c r="AC31" t="n">
        <v>19812</v>
      </c>
      <c r="AD31" t="n">
        <v>29590</v>
      </c>
      <c r="AE31" t="n">
        <v>14981</v>
      </c>
      <c r="AF31" t="n">
        <v>15039</v>
      </c>
    </row>
    <row r="32">
      <c r="A32" t="s">
        <v>16</v>
      </c>
      <c r="B32" t="s">
        <v>221</v>
      </c>
      <c r="C32" t="s">
        <v>129</v>
      </c>
      <c r="D32" t="s">
        <v>222</v>
      </c>
      <c r="E32" t="s">
        <v>130</v>
      </c>
      <c r="F32" t="n">
        <v>77561</v>
      </c>
      <c r="G32" t="n">
        <v>92129</v>
      </c>
      <c r="H32" t="n">
        <v>106483</v>
      </c>
      <c r="I32" t="n">
        <v>123656</v>
      </c>
      <c r="J32" t="n">
        <v>136143</v>
      </c>
      <c r="K32" t="n">
        <v>155134</v>
      </c>
      <c r="L32" t="n">
        <v>179592</v>
      </c>
      <c r="M32" t="n">
        <v>89974</v>
      </c>
      <c r="N32" t="n">
        <v>89897</v>
      </c>
      <c r="O32" t="n">
        <v>108563</v>
      </c>
      <c r="P32" t="n">
        <v>111147</v>
      </c>
      <c r="Q32" t="n">
        <v>125162</v>
      </c>
      <c r="R32" t="n">
        <v>139065</v>
      </c>
      <c r="S32" t="n">
        <v>253627</v>
      </c>
      <c r="T32" t="n">
        <v>250583</v>
      </c>
      <c r="U32" t="n">
        <v>255689</v>
      </c>
      <c r="V32" t="n">
        <v>271351</v>
      </c>
      <c r="W32" t="n">
        <v>277302</v>
      </c>
      <c r="X32" t="n">
        <v>277321</v>
      </c>
      <c r="Y32" t="n">
        <v>282314</v>
      </c>
      <c r="Z32" t="n">
        <v>290859</v>
      </c>
      <c r="AA32" t="n">
        <v>310256</v>
      </c>
      <c r="AB32" t="n">
        <v>327601</v>
      </c>
      <c r="AC32" t="n">
        <v>356895</v>
      </c>
      <c r="AD32" t="n">
        <v>388702</v>
      </c>
      <c r="AE32" t="n">
        <v>400183</v>
      </c>
      <c r="AF32" t="n">
        <v>421057</v>
      </c>
    </row>
    <row r="33">
      <c r="A33" t="s">
        <v>16</v>
      </c>
      <c r="B33" t="s">
        <v>223</v>
      </c>
      <c r="C33" t="s">
        <v>129</v>
      </c>
      <c r="D33" t="s">
        <v>224</v>
      </c>
      <c r="E33" t="s">
        <v>130</v>
      </c>
      <c r="F33" t="n">
        <v>36206</v>
      </c>
      <c r="G33" t="n">
        <v>40368</v>
      </c>
      <c r="H33" t="n">
        <v>50772</v>
      </c>
      <c r="I33" t="n">
        <v>56573</v>
      </c>
      <c r="J33" t="n">
        <v>65142</v>
      </c>
      <c r="K33" t="n">
        <v>69288</v>
      </c>
      <c r="L33" t="n">
        <v>78939</v>
      </c>
      <c r="M33" t="n">
        <v>83516</v>
      </c>
      <c r="N33" t="n">
        <v>83235</v>
      </c>
      <c r="O33" t="n">
        <v>99485</v>
      </c>
      <c r="P33" t="n">
        <v>97055</v>
      </c>
      <c r="Q33" t="n">
        <v>105005</v>
      </c>
      <c r="R33" t="n">
        <v>109852</v>
      </c>
      <c r="S33" t="n">
        <v>116958</v>
      </c>
      <c r="T33" t="n">
        <v>114003</v>
      </c>
      <c r="U33" t="n">
        <v>115103</v>
      </c>
      <c r="V33" t="n">
        <v>116521</v>
      </c>
      <c r="W33" t="n">
        <v>121490</v>
      </c>
      <c r="X33" t="n">
        <v>117501</v>
      </c>
      <c r="Y33" t="n">
        <v>120509</v>
      </c>
      <c r="Z33" t="n">
        <v>119919</v>
      </c>
      <c r="AA33" t="n">
        <v>124418</v>
      </c>
      <c r="AB33" t="n">
        <v>134599</v>
      </c>
      <c r="AC33" t="n">
        <v>146420</v>
      </c>
      <c r="AD33" t="n">
        <v>152826</v>
      </c>
      <c r="AE33" t="n">
        <v>159271</v>
      </c>
      <c r="AF33" t="n">
        <v>175187</v>
      </c>
    </row>
    <row r="34">
      <c r="A34" t="s">
        <v>16</v>
      </c>
      <c r="B34" t="s">
        <v>225</v>
      </c>
      <c r="C34" t="s">
        <v>129</v>
      </c>
      <c r="D34" t="s">
        <v>226</v>
      </c>
      <c r="E34" t="s">
        <v>130</v>
      </c>
      <c r="F34" t="n">
        <v>51267</v>
      </c>
      <c r="G34" t="n">
        <v>65387</v>
      </c>
      <c r="H34" t="n">
        <v>77799</v>
      </c>
      <c r="I34" t="n">
        <v>84473</v>
      </c>
      <c r="J34" t="n">
        <v>96840</v>
      </c>
      <c r="K34" t="n">
        <v>129864</v>
      </c>
      <c r="L34" t="n">
        <v>154801</v>
      </c>
      <c r="M34" t="n">
        <v>178442</v>
      </c>
      <c r="N34" t="n">
        <v>213546</v>
      </c>
      <c r="O34" t="n">
        <v>254215</v>
      </c>
      <c r="P34" t="n">
        <v>265140</v>
      </c>
      <c r="Q34" t="n">
        <v>285079</v>
      </c>
      <c r="R34" t="n">
        <v>323910</v>
      </c>
      <c r="S34" t="n">
        <v>311276</v>
      </c>
      <c r="T34" t="n">
        <v>308735</v>
      </c>
      <c r="U34" t="n">
        <v>292097</v>
      </c>
      <c r="V34" t="n">
        <v>279070</v>
      </c>
      <c r="W34" t="n">
        <v>284680</v>
      </c>
      <c r="X34" t="n">
        <v>262825</v>
      </c>
      <c r="Y34" t="n">
        <v>296061</v>
      </c>
      <c r="Z34" t="n">
        <v>306217</v>
      </c>
      <c r="AA34" t="n">
        <v>312985</v>
      </c>
      <c r="AB34" t="n">
        <v>371164</v>
      </c>
      <c r="AC34" t="n">
        <v>399488</v>
      </c>
      <c r="AD34" t="n">
        <v>460592</v>
      </c>
      <c r="AE34" t="n">
        <v>391445</v>
      </c>
      <c r="AF34" t="n">
        <v>430903</v>
      </c>
    </row>
    <row r="35">
      <c r="A35" t="s">
        <v>16</v>
      </c>
      <c r="B35" t="s">
        <v>227</v>
      </c>
      <c r="C35" t="s">
        <v>129</v>
      </c>
      <c r="D35" t="s">
        <v>228</v>
      </c>
      <c r="E35" t="s">
        <v>130</v>
      </c>
      <c r="F35" t="n">
        <v>76581</v>
      </c>
      <c r="G35" t="n">
        <v>96863</v>
      </c>
      <c r="H35" t="n">
        <v>135944</v>
      </c>
      <c r="I35" t="n">
        <v>156302</v>
      </c>
      <c r="J35" t="n">
        <v>181669</v>
      </c>
      <c r="K35" t="n">
        <v>239851</v>
      </c>
      <c r="L35" t="n">
        <v>324012</v>
      </c>
      <c r="M35" t="n">
        <v>329059</v>
      </c>
      <c r="N35" t="n">
        <v>370995</v>
      </c>
      <c r="O35" t="n">
        <v>389299</v>
      </c>
      <c r="P35" t="n">
        <v>443288</v>
      </c>
      <c r="Q35" t="n">
        <v>477608</v>
      </c>
      <c r="R35" t="n">
        <v>543735</v>
      </c>
      <c r="S35" t="n">
        <v>560385</v>
      </c>
      <c r="T35" t="n">
        <v>573823</v>
      </c>
      <c r="U35" t="n">
        <v>569123</v>
      </c>
      <c r="V35" t="n">
        <v>616081</v>
      </c>
      <c r="W35" t="n">
        <v>669639</v>
      </c>
      <c r="X35" t="n">
        <v>688269</v>
      </c>
      <c r="Y35" t="n">
        <v>741862</v>
      </c>
      <c r="Z35" t="n">
        <v>750724</v>
      </c>
      <c r="AA35" t="n">
        <v>804742</v>
      </c>
      <c r="AB35" t="n">
        <v>843255</v>
      </c>
      <c r="AC35" t="n">
        <v>908446</v>
      </c>
      <c r="AD35" t="n">
        <v>1012643</v>
      </c>
      <c r="AE35" t="n">
        <v>1073965</v>
      </c>
      <c r="AF35" t="n">
        <v>1250007</v>
      </c>
    </row>
    <row r="36">
      <c r="A36" t="s">
        <v>16</v>
      </c>
      <c r="B36" t="s">
        <v>229</v>
      </c>
      <c r="C36" t="s">
        <v>129</v>
      </c>
      <c r="D36" t="s">
        <v>230</v>
      </c>
      <c r="E36" t="s">
        <v>130</v>
      </c>
      <c r="F36" t="n">
        <v>23203</v>
      </c>
      <c r="G36" t="n">
        <v>27101</v>
      </c>
      <c r="H36" t="n">
        <v>42508</v>
      </c>
      <c r="I36" t="n">
        <v>37338</v>
      </c>
      <c r="J36" t="n">
        <v>37383</v>
      </c>
      <c r="K36" t="n">
        <v>54641</v>
      </c>
      <c r="L36" t="n">
        <v>87947</v>
      </c>
      <c r="M36" t="n">
        <v>89075</v>
      </c>
      <c r="N36" t="n">
        <v>92381</v>
      </c>
      <c r="O36" t="n">
        <v>106848</v>
      </c>
      <c r="P36" t="n">
        <v>118575</v>
      </c>
      <c r="Q36" t="n">
        <v>133040</v>
      </c>
      <c r="R36" t="n">
        <v>150136</v>
      </c>
      <c r="S36" t="n">
        <v>145522</v>
      </c>
      <c r="T36" t="n">
        <v>139290</v>
      </c>
      <c r="U36" t="n">
        <v>141554</v>
      </c>
      <c r="V36" t="n">
        <v>148377</v>
      </c>
      <c r="W36" t="n">
        <v>161190</v>
      </c>
      <c r="X36" t="n">
        <v>152919</v>
      </c>
      <c r="Y36" t="n">
        <v>155042</v>
      </c>
      <c r="Z36" t="n">
        <v>140200</v>
      </c>
      <c r="AA36" t="n">
        <v>151022</v>
      </c>
      <c r="AB36" t="n">
        <v>157880</v>
      </c>
      <c r="AC36" t="n">
        <v>160695</v>
      </c>
      <c r="AD36" t="n">
        <v>172525</v>
      </c>
      <c r="AE36" t="n">
        <v>157713</v>
      </c>
      <c r="AF36" t="n">
        <v>185430</v>
      </c>
    </row>
    <row r="37">
      <c r="A37" t="s">
        <v>16</v>
      </c>
      <c r="B37" t="s">
        <v>231</v>
      </c>
      <c r="C37" t="s">
        <v>129</v>
      </c>
      <c r="D37" t="s">
        <v>232</v>
      </c>
      <c r="E37" t="s">
        <v>130</v>
      </c>
      <c r="F37" t="n">
        <v>36685</v>
      </c>
      <c r="G37" t="n">
        <v>46122</v>
      </c>
      <c r="H37" t="n">
        <v>61717</v>
      </c>
      <c r="I37" t="n">
        <v>69466</v>
      </c>
      <c r="J37" t="n">
        <v>85704</v>
      </c>
      <c r="K37" t="n">
        <v>103242</v>
      </c>
      <c r="L37" t="n">
        <v>128782</v>
      </c>
      <c r="M37" t="n">
        <v>125416</v>
      </c>
      <c r="N37" t="n">
        <v>141357</v>
      </c>
      <c r="O37" t="n">
        <v>132665</v>
      </c>
      <c r="P37" t="n">
        <v>151610</v>
      </c>
      <c r="Q37" t="n">
        <v>150299</v>
      </c>
      <c r="R37" t="n">
        <v>166109</v>
      </c>
      <c r="S37" t="n">
        <v>161835</v>
      </c>
      <c r="T37" t="n">
        <v>154314</v>
      </c>
      <c r="U37" t="n">
        <v>142318</v>
      </c>
      <c r="V37" t="n">
        <v>144072</v>
      </c>
      <c r="W37" t="n">
        <v>138937</v>
      </c>
      <c r="X37" t="n">
        <v>147070</v>
      </c>
      <c r="Y37" t="n">
        <v>151226</v>
      </c>
      <c r="Z37" t="n">
        <v>151631</v>
      </c>
      <c r="AA37" t="n">
        <v>149120</v>
      </c>
      <c r="AB37" t="n">
        <v>150878</v>
      </c>
      <c r="AC37" t="n">
        <v>150325</v>
      </c>
      <c r="AD37" t="n">
        <v>152917</v>
      </c>
      <c r="AE37" t="n">
        <v>165289</v>
      </c>
      <c r="AF37" t="n">
        <v>168161</v>
      </c>
    </row>
    <row r="38">
      <c r="A38" t="s">
        <v>16</v>
      </c>
      <c r="B38" t="s">
        <v>233</v>
      </c>
      <c r="C38" t="s">
        <v>129</v>
      </c>
      <c r="D38" t="s">
        <v>234</v>
      </c>
      <c r="E38" t="s">
        <v>130</v>
      </c>
      <c r="F38" t="n">
        <v>16693</v>
      </c>
      <c r="G38" t="n">
        <v>23640</v>
      </c>
      <c r="H38" t="n">
        <v>31719</v>
      </c>
      <c r="I38" t="n">
        <v>49498</v>
      </c>
      <c r="J38" t="n">
        <v>58582</v>
      </c>
      <c r="K38" t="n">
        <v>81968</v>
      </c>
      <c r="L38" t="n">
        <v>107283</v>
      </c>
      <c r="M38" t="n">
        <v>114568</v>
      </c>
      <c r="N38" t="n">
        <v>137257</v>
      </c>
      <c r="O38" t="n">
        <v>149786</v>
      </c>
      <c r="P38" t="n">
        <v>173103</v>
      </c>
      <c r="Q38" t="n">
        <v>194269</v>
      </c>
      <c r="R38" t="n">
        <v>227490</v>
      </c>
      <c r="S38" t="n">
        <v>253028</v>
      </c>
      <c r="T38" t="n">
        <v>280219</v>
      </c>
      <c r="U38" t="n">
        <v>285251</v>
      </c>
      <c r="V38" t="n">
        <v>323632</v>
      </c>
      <c r="W38" t="n">
        <v>369512</v>
      </c>
      <c r="X38" t="n">
        <v>388280</v>
      </c>
      <c r="Y38" t="n">
        <v>435594</v>
      </c>
      <c r="Z38" t="n">
        <v>458893</v>
      </c>
      <c r="AA38" t="n">
        <v>504600</v>
      </c>
      <c r="AB38" t="n">
        <v>534497</v>
      </c>
      <c r="AC38" t="n">
        <v>597426</v>
      </c>
      <c r="AD38" t="n">
        <v>687201</v>
      </c>
      <c r="AE38" t="n">
        <v>750963</v>
      </c>
      <c r="AF38" t="n">
        <v>896416</v>
      </c>
    </row>
    <row r="39">
      <c r="A39" t="s">
        <v>16</v>
      </c>
      <c r="B39" t="s">
        <v>235</v>
      </c>
      <c r="C39" t="s">
        <v>129</v>
      </c>
      <c r="D39" t="s">
        <v>236</v>
      </c>
      <c r="E39" t="s">
        <v>130</v>
      </c>
      <c r="F39" t="n">
        <v>104255</v>
      </c>
      <c r="G39" t="n">
        <v>121847</v>
      </c>
      <c r="H39" t="n">
        <v>154311</v>
      </c>
      <c r="I39" t="n">
        <v>181375</v>
      </c>
      <c r="J39" t="n">
        <v>200264</v>
      </c>
      <c r="K39" t="n">
        <v>216116</v>
      </c>
      <c r="L39" t="n">
        <v>237914</v>
      </c>
      <c r="M39" t="n">
        <v>280457</v>
      </c>
      <c r="N39" t="n">
        <v>307675</v>
      </c>
      <c r="O39" t="n">
        <v>349351</v>
      </c>
      <c r="P39" t="n">
        <v>403397</v>
      </c>
      <c r="Q39" t="n">
        <v>454594</v>
      </c>
      <c r="R39" t="n">
        <v>522673</v>
      </c>
      <c r="S39" t="n">
        <v>553918</v>
      </c>
      <c r="T39" t="n">
        <v>548406</v>
      </c>
      <c r="U39" t="n">
        <v>559047</v>
      </c>
      <c r="V39" t="n">
        <v>521949</v>
      </c>
      <c r="W39" t="n">
        <v>544591</v>
      </c>
      <c r="X39" t="n">
        <v>540203</v>
      </c>
      <c r="Y39" t="n">
        <v>549028</v>
      </c>
      <c r="Z39" t="n">
        <v>560630</v>
      </c>
      <c r="AA39" t="n">
        <v>580855</v>
      </c>
      <c r="AB39" t="n">
        <v>591571</v>
      </c>
      <c r="AC39" t="n">
        <v>647305</v>
      </c>
      <c r="AD39" t="n">
        <v>693180</v>
      </c>
      <c r="AE39" t="n">
        <v>671804</v>
      </c>
      <c r="AF39" t="n">
        <v>764982</v>
      </c>
    </row>
    <row r="40">
      <c r="A40" t="s">
        <v>16</v>
      </c>
      <c r="B40" t="s">
        <v>237</v>
      </c>
      <c r="C40" t="s">
        <v>129</v>
      </c>
      <c r="D40" t="s">
        <v>238</v>
      </c>
      <c r="E40" t="s">
        <v>130</v>
      </c>
      <c r="F40" t="n">
        <v>53642</v>
      </c>
      <c r="G40" t="n">
        <v>74207</v>
      </c>
      <c r="H40" t="n">
        <v>87898</v>
      </c>
      <c r="I40" t="n">
        <v>112820</v>
      </c>
      <c r="J40" t="n">
        <v>108826</v>
      </c>
      <c r="K40" t="n">
        <v>127708</v>
      </c>
      <c r="L40" t="n">
        <v>133667</v>
      </c>
      <c r="M40" t="n">
        <v>120240</v>
      </c>
      <c r="N40" t="n">
        <v>142397</v>
      </c>
      <c r="O40" t="n">
        <v>138310</v>
      </c>
      <c r="P40" t="n">
        <v>156933</v>
      </c>
      <c r="Q40" t="n">
        <v>163224</v>
      </c>
      <c r="R40" t="n">
        <v>179664</v>
      </c>
      <c r="S40" t="n">
        <v>184773</v>
      </c>
      <c r="T40" t="n">
        <v>173173</v>
      </c>
      <c r="U40" t="n">
        <v>175452</v>
      </c>
      <c r="V40" t="n">
        <v>194731</v>
      </c>
      <c r="W40" t="n">
        <v>179982</v>
      </c>
      <c r="X40" t="n">
        <v>196985</v>
      </c>
      <c r="Y40" t="n">
        <v>193994</v>
      </c>
      <c r="Z40" t="n">
        <v>181700</v>
      </c>
      <c r="AA40" t="n">
        <v>188510</v>
      </c>
      <c r="AB40" t="n">
        <v>190260</v>
      </c>
      <c r="AC40" t="n">
        <v>203147</v>
      </c>
      <c r="AD40" t="n">
        <v>227357</v>
      </c>
      <c r="AE40" t="n">
        <v>222977</v>
      </c>
      <c r="AF40" t="n">
        <v>204312</v>
      </c>
    </row>
    <row r="41">
      <c r="A41" t="s">
        <v>16</v>
      </c>
      <c r="B41" t="s">
        <v>239</v>
      </c>
      <c r="C41" t="s">
        <v>129</v>
      </c>
      <c r="D41" t="s">
        <v>240</v>
      </c>
      <c r="E41" t="s">
        <v>130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/>
      <c r="AC41"/>
      <c r="AD41"/>
      <c r="AE41"/>
      <c r="AF41"/>
    </row>
    <row r="42">
      <c r="A42" t="s">
        <v>16</v>
      </c>
      <c r="B42" t="s">
        <v>241</v>
      </c>
      <c r="C42" t="s">
        <v>129</v>
      </c>
      <c r="D42" t="s">
        <v>242</v>
      </c>
      <c r="E42" t="s">
        <v>130</v>
      </c>
      <c r="F42" t="n">
        <v>106541</v>
      </c>
      <c r="G42" t="n">
        <v>141161</v>
      </c>
      <c r="H42" t="n">
        <v>173263</v>
      </c>
      <c r="I42" t="n">
        <v>211286</v>
      </c>
      <c r="J42" t="n">
        <v>223531</v>
      </c>
      <c r="K42" t="n">
        <v>268243</v>
      </c>
      <c r="L42" t="n">
        <v>359147</v>
      </c>
      <c r="M42" t="n">
        <v>350658</v>
      </c>
      <c r="N42" t="n">
        <v>468672</v>
      </c>
      <c r="O42" t="n">
        <v>504320</v>
      </c>
      <c r="P42" t="n">
        <v>614274</v>
      </c>
      <c r="Q42" t="n">
        <v>641237</v>
      </c>
      <c r="R42" t="n">
        <v>673803</v>
      </c>
      <c r="S42" t="n">
        <v>752845</v>
      </c>
      <c r="T42" t="n">
        <v>759528</v>
      </c>
      <c r="U42" t="n">
        <v>834530</v>
      </c>
      <c r="V42" t="n">
        <v>830200</v>
      </c>
      <c r="W42" t="n">
        <v>861238</v>
      </c>
      <c r="X42" t="n">
        <v>883066</v>
      </c>
      <c r="Y42" t="n">
        <v>889477</v>
      </c>
      <c r="Z42" t="n">
        <v>940518</v>
      </c>
      <c r="AA42" t="n">
        <v>1009281</v>
      </c>
      <c r="AB42" t="n">
        <v>1096635</v>
      </c>
      <c r="AC42" t="n">
        <v>1167175</v>
      </c>
      <c r="AD42" t="n">
        <v>1327426</v>
      </c>
      <c r="AE42" t="n">
        <v>1363822</v>
      </c>
      <c r="AF42" t="n">
        <v>1505044</v>
      </c>
    </row>
    <row r="43">
      <c r="A43" t="s">
        <v>16</v>
      </c>
      <c r="B43" t="s">
        <v>243</v>
      </c>
      <c r="C43" t="s">
        <v>129</v>
      </c>
      <c r="D43" t="s">
        <v>244</v>
      </c>
      <c r="E43" t="s">
        <v>130</v>
      </c>
      <c r="F43" t="n">
        <v>156395</v>
      </c>
      <c r="G43" t="n">
        <v>219468</v>
      </c>
      <c r="H43" t="n">
        <v>265935</v>
      </c>
      <c r="I43" t="n">
        <v>332704</v>
      </c>
      <c r="J43" t="n">
        <v>349834</v>
      </c>
      <c r="K43" t="n">
        <v>435949</v>
      </c>
      <c r="L43" t="n">
        <v>561310</v>
      </c>
      <c r="M43" t="n">
        <v>565630</v>
      </c>
      <c r="N43" t="n">
        <v>717180</v>
      </c>
      <c r="O43" t="n">
        <v>820602</v>
      </c>
      <c r="P43" t="n">
        <v>971501</v>
      </c>
      <c r="Q43" t="n">
        <v>1029107</v>
      </c>
      <c r="R43" t="n">
        <v>1091406</v>
      </c>
      <c r="S43" t="n">
        <v>1194477</v>
      </c>
      <c r="T43" t="n">
        <v>1191260</v>
      </c>
      <c r="U43" t="n">
        <v>1286927</v>
      </c>
      <c r="V43" t="n">
        <v>1361758</v>
      </c>
      <c r="W43" t="n">
        <v>1431717</v>
      </c>
      <c r="X43" t="n">
        <v>1455764</v>
      </c>
      <c r="Y43" t="n">
        <v>1498583</v>
      </c>
      <c r="Z43" t="n">
        <v>1597747</v>
      </c>
      <c r="AA43" t="n">
        <v>1715833</v>
      </c>
      <c r="AB43" t="n">
        <v>1893576</v>
      </c>
      <c r="AC43" t="n">
        <v>2067065</v>
      </c>
      <c r="AD43" t="n">
        <v>2347126</v>
      </c>
      <c r="AE43" t="n">
        <v>2292295</v>
      </c>
      <c r="AF43" t="n">
        <v>2597694</v>
      </c>
    </row>
    <row r="44">
      <c r="A44" t="s">
        <v>16</v>
      </c>
      <c r="B44" t="s">
        <v>245</v>
      </c>
      <c r="C44" t="s">
        <v>129</v>
      </c>
      <c r="D44" t="s">
        <v>246</v>
      </c>
      <c r="E44" t="s">
        <v>130</v>
      </c>
      <c r="F44" t="n">
        <v>1929097</v>
      </c>
      <c r="G44" t="n">
        <v>2348051</v>
      </c>
      <c r="H44" t="n">
        <v>2929206</v>
      </c>
      <c r="I44" t="n">
        <v>3414674</v>
      </c>
      <c r="J44" t="n">
        <v>3688693</v>
      </c>
      <c r="K44" t="n">
        <v>4378650</v>
      </c>
      <c r="L44" t="n">
        <v>5076635</v>
      </c>
      <c r="M44" t="n">
        <v>5486594</v>
      </c>
      <c r="N44" t="n">
        <v>6081707</v>
      </c>
      <c r="O44" t="n">
        <v>6825171</v>
      </c>
      <c r="P44" t="n">
        <v>7453543</v>
      </c>
      <c r="Q44" t="n">
        <v>7978802</v>
      </c>
      <c r="R44" t="n">
        <v>8584175</v>
      </c>
      <c r="S44" t="n">
        <v>8993390</v>
      </c>
      <c r="T44" t="n">
        <v>8677746</v>
      </c>
      <c r="U44" t="n">
        <v>8819481</v>
      </c>
      <c r="V44" t="n">
        <v>9294699</v>
      </c>
      <c r="W44" t="n">
        <v>9732773</v>
      </c>
      <c r="X44" t="n">
        <v>9868363</v>
      </c>
      <c r="Y44" t="n">
        <v>10282264</v>
      </c>
      <c r="Z44" t="n">
        <v>10712001</v>
      </c>
      <c r="AA44" t="n">
        <v>11328663</v>
      </c>
      <c r="AB44" t="n">
        <v>12376687</v>
      </c>
      <c r="AC44" t="n">
        <v>13505060</v>
      </c>
      <c r="AD44" t="n">
        <v>14985464</v>
      </c>
      <c r="AE44" t="n">
        <v>15065762</v>
      </c>
      <c r="AF44" t="n">
        <v>16554859</v>
      </c>
    </row>
    <row r="45">
      <c r="A45" t="s">
        <v>16</v>
      </c>
      <c r="B45" t="s">
        <v>247</v>
      </c>
      <c r="C45" t="s">
        <v>129</v>
      </c>
      <c r="D45" t="s">
        <v>248</v>
      </c>
      <c r="E45" t="s">
        <v>130</v>
      </c>
      <c r="F45" t="n">
        <v>1806953</v>
      </c>
      <c r="G45" t="n">
        <v>2207562</v>
      </c>
      <c r="H45" t="n">
        <v>2761486</v>
      </c>
      <c r="I45" t="n">
        <v>3232653</v>
      </c>
      <c r="J45" t="n">
        <v>3509403</v>
      </c>
      <c r="K45" t="n">
        <v>4181799</v>
      </c>
      <c r="L45" t="n">
        <v>4852971</v>
      </c>
      <c r="M45" t="n">
        <v>5252143</v>
      </c>
      <c r="N45" t="n">
        <v>5852396</v>
      </c>
      <c r="O45" t="n">
        <v>6580699</v>
      </c>
      <c r="P45" t="n">
        <v>7211738</v>
      </c>
      <c r="Q45" t="n">
        <v>7735761</v>
      </c>
      <c r="R45" t="n">
        <v>8324457</v>
      </c>
      <c r="S45" t="n">
        <v>8723172</v>
      </c>
      <c r="T45" t="n">
        <v>8414451</v>
      </c>
      <c r="U45" t="n">
        <v>8554521</v>
      </c>
      <c r="V45" t="n">
        <v>8996908</v>
      </c>
      <c r="W45" t="n">
        <v>9408288</v>
      </c>
      <c r="X45" t="n">
        <v>9517851</v>
      </c>
      <c r="Y45" t="n">
        <v>9919766</v>
      </c>
      <c r="Z45" t="n">
        <v>10338737</v>
      </c>
      <c r="AA45" t="n">
        <v>10955992</v>
      </c>
      <c r="AB45" t="n">
        <v>11978098</v>
      </c>
      <c r="AC45" t="n">
        <v>13107783</v>
      </c>
      <c r="AD45" t="n">
        <v>14549557</v>
      </c>
      <c r="AE45" t="n">
        <v>14612239</v>
      </c>
      <c r="AF45" t="n">
        <v>16096477</v>
      </c>
    </row>
    <row r="46">
      <c r="A46" t="s">
        <v>16</v>
      </c>
      <c r="B46" t="s">
        <v>249</v>
      </c>
      <c r="C46" t="s">
        <v>129</v>
      </c>
      <c r="D46" t="s">
        <v>250</v>
      </c>
      <c r="E46" t="s">
        <v>130</v>
      </c>
      <c r="F46" t="n">
        <v>49854</v>
      </c>
      <c r="G46" t="n">
        <v>78307</v>
      </c>
      <c r="H46" t="n">
        <v>92672</v>
      </c>
      <c r="I46" t="n">
        <v>121418</v>
      </c>
      <c r="J46" t="n">
        <v>126303</v>
      </c>
      <c r="K46" t="n">
        <v>167706</v>
      </c>
      <c r="L46" t="n">
        <v>202163</v>
      </c>
      <c r="M46" t="n">
        <v>214972</v>
      </c>
      <c r="N46" t="n">
        <v>248508</v>
      </c>
      <c r="O46" t="n">
        <v>316282</v>
      </c>
      <c r="P46" t="n">
        <v>357227</v>
      </c>
      <c r="Q46" t="n">
        <v>387870</v>
      </c>
      <c r="R46" t="n">
        <v>417603</v>
      </c>
      <c r="S46" t="n">
        <v>441632</v>
      </c>
      <c r="T46" t="n">
        <v>431732</v>
      </c>
      <c r="U46" t="n">
        <v>452397</v>
      </c>
      <c r="V46" t="n">
        <v>531558</v>
      </c>
      <c r="W46" t="n">
        <v>570479</v>
      </c>
      <c r="X46" t="n">
        <v>572698</v>
      </c>
      <c r="Y46" t="n">
        <v>609106</v>
      </c>
      <c r="Z46" t="n">
        <v>657229</v>
      </c>
      <c r="AA46" t="n">
        <v>706552</v>
      </c>
      <c r="AB46" t="n">
        <v>796941</v>
      </c>
      <c r="AC46" t="n">
        <v>899890</v>
      </c>
      <c r="AD46" t="n">
        <v>1019700</v>
      </c>
      <c r="AE46" t="n">
        <v>928473</v>
      </c>
      <c r="AF46" t="n">
        <v>1092650</v>
      </c>
    </row>
    <row r="47">
      <c r="A47" t="s">
        <v>16</v>
      </c>
      <c r="B47" t="s">
        <v>251</v>
      </c>
      <c r="C47" t="s">
        <v>129</v>
      </c>
      <c r="D47" t="s">
        <v>252</v>
      </c>
      <c r="E47" t="s">
        <v>130</v>
      </c>
      <c r="F47" t="n">
        <v>266709</v>
      </c>
      <c r="G47" t="n">
        <v>302600</v>
      </c>
      <c r="H47" t="n">
        <v>371388</v>
      </c>
      <c r="I47" t="n">
        <v>458667</v>
      </c>
      <c r="J47" t="n">
        <v>535657</v>
      </c>
      <c r="K47" t="n">
        <v>610451</v>
      </c>
      <c r="L47" t="n">
        <v>753652</v>
      </c>
      <c r="M47" t="n">
        <v>927376</v>
      </c>
      <c r="N47" t="n">
        <v>1027644</v>
      </c>
      <c r="O47" t="n">
        <v>1104830</v>
      </c>
      <c r="P47" t="n">
        <v>1182106</v>
      </c>
      <c r="Q47" t="n">
        <v>1263091</v>
      </c>
      <c r="R47" t="n">
        <v>1310734</v>
      </c>
      <c r="S47" t="n">
        <v>1425485</v>
      </c>
      <c r="T47" t="n">
        <v>1381466</v>
      </c>
      <c r="U47" t="n">
        <v>1382381</v>
      </c>
      <c r="V47" t="n">
        <v>1344534</v>
      </c>
      <c r="W47" t="n">
        <v>1301582</v>
      </c>
      <c r="X47" t="n">
        <v>1485206</v>
      </c>
      <c r="Y47" t="n">
        <v>1548870</v>
      </c>
      <c r="Z47" t="n">
        <v>1639486</v>
      </c>
      <c r="AA47" t="n">
        <v>1799981</v>
      </c>
      <c r="AB47" t="n">
        <v>1909797</v>
      </c>
      <c r="AC47" t="n">
        <v>1981729</v>
      </c>
      <c r="AD47" t="n">
        <v>2133017</v>
      </c>
      <c r="AE47" t="n">
        <v>2151287</v>
      </c>
      <c r="AF47" t="n">
        <v>2247385</v>
      </c>
    </row>
    <row r="48">
      <c r="A48" t="s">
        <v>16</v>
      </c>
      <c r="B48" t="s">
        <v>253</v>
      </c>
      <c r="C48" t="s">
        <v>129</v>
      </c>
      <c r="D48" t="s">
        <v>254</v>
      </c>
      <c r="E48" t="s">
        <v>130</v>
      </c>
      <c r="F48" t="n">
        <v>644426</v>
      </c>
      <c r="G48" t="n">
        <v>738041</v>
      </c>
      <c r="H48" t="n">
        <v>883025</v>
      </c>
      <c r="I48" t="n">
        <v>1063320</v>
      </c>
      <c r="J48" t="n">
        <v>1219897</v>
      </c>
      <c r="K48" t="n">
        <v>1401758</v>
      </c>
      <c r="L48" t="n">
        <v>1693894</v>
      </c>
      <c r="M48" t="n">
        <v>2082114</v>
      </c>
      <c r="N48" t="n">
        <v>2473301</v>
      </c>
      <c r="O48" t="n">
        <v>2620438</v>
      </c>
      <c r="P48" t="n">
        <v>2811615</v>
      </c>
      <c r="Q48" t="n">
        <v>2947051</v>
      </c>
      <c r="R48" t="n">
        <v>2976997</v>
      </c>
      <c r="S48" t="n">
        <v>3153055</v>
      </c>
      <c r="T48" t="n">
        <v>3040266</v>
      </c>
      <c r="U48" t="n">
        <v>3011181</v>
      </c>
      <c r="V48" t="n">
        <v>2968974</v>
      </c>
      <c r="W48" t="n">
        <v>3031424</v>
      </c>
      <c r="X48" t="n">
        <v>3242918</v>
      </c>
      <c r="Y48" t="n">
        <v>3515076</v>
      </c>
      <c r="Z48" t="n">
        <v>3743212</v>
      </c>
      <c r="AA48" t="n">
        <v>4066271</v>
      </c>
      <c r="AB48" t="n">
        <v>4344254</v>
      </c>
      <c r="AC48" t="n">
        <v>4619447</v>
      </c>
      <c r="AD48" t="n">
        <v>4957755</v>
      </c>
      <c r="AE48" t="n">
        <v>5197020</v>
      </c>
      <c r="AF48" t="n">
        <v>5660770</v>
      </c>
    </row>
    <row r="49">
      <c r="A49" t="s">
        <v>16</v>
      </c>
      <c r="B49" t="s">
        <v>255</v>
      </c>
      <c r="C49" t="s">
        <v>129</v>
      </c>
      <c r="D49" t="s">
        <v>256</v>
      </c>
      <c r="E49" t="s">
        <v>130</v>
      </c>
      <c r="F49" t="n">
        <v>207796</v>
      </c>
      <c r="G49" t="n">
        <v>230461</v>
      </c>
      <c r="H49" t="n">
        <v>275600</v>
      </c>
      <c r="I49" t="n">
        <v>325529</v>
      </c>
      <c r="J49" t="n">
        <v>374608</v>
      </c>
      <c r="K49" t="n">
        <v>421454</v>
      </c>
      <c r="L49" t="n">
        <v>505578</v>
      </c>
      <c r="M49" t="n">
        <v>622776</v>
      </c>
      <c r="N49" t="n">
        <v>787585</v>
      </c>
      <c r="O49" t="n">
        <v>810099</v>
      </c>
      <c r="P49" t="n">
        <v>877001</v>
      </c>
      <c r="Q49" t="n">
        <v>908743</v>
      </c>
      <c r="R49" t="n">
        <v>887909</v>
      </c>
      <c r="S49" t="n">
        <v>918782</v>
      </c>
      <c r="T49" t="n">
        <v>868686</v>
      </c>
      <c r="U49" t="n">
        <v>857909</v>
      </c>
      <c r="V49" t="n">
        <v>831308</v>
      </c>
      <c r="W49" t="n">
        <v>827647</v>
      </c>
      <c r="X49" t="n">
        <v>784829</v>
      </c>
      <c r="Y49" t="n">
        <v>962155</v>
      </c>
      <c r="Z49" t="n">
        <v>1066715</v>
      </c>
      <c r="AA49" t="n">
        <v>1145984</v>
      </c>
      <c r="AB49" t="n">
        <v>1196068</v>
      </c>
      <c r="AC49" t="n">
        <v>1280142</v>
      </c>
      <c r="AD49" t="n">
        <v>1343098</v>
      </c>
      <c r="AE49" t="n">
        <v>1389280</v>
      </c>
      <c r="AF49" t="n">
        <v>1497924</v>
      </c>
    </row>
    <row r="50">
      <c r="A50" t="s">
        <v>16</v>
      </c>
      <c r="B50" t="s">
        <v>257</v>
      </c>
      <c r="C50" t="s">
        <v>129</v>
      </c>
      <c r="D50" t="s">
        <v>258</v>
      </c>
      <c r="E50" t="s">
        <v>130</v>
      </c>
      <c r="F50" t="n">
        <v>169921</v>
      </c>
      <c r="G50" t="n">
        <v>204980</v>
      </c>
      <c r="H50" t="n">
        <v>236037</v>
      </c>
      <c r="I50" t="n">
        <v>279124</v>
      </c>
      <c r="J50" t="n">
        <v>309632</v>
      </c>
      <c r="K50" t="n">
        <v>369853</v>
      </c>
      <c r="L50" t="n">
        <v>434664</v>
      </c>
      <c r="M50" t="n">
        <v>531962</v>
      </c>
      <c r="N50" t="n">
        <v>658072</v>
      </c>
      <c r="O50" t="n">
        <v>705509</v>
      </c>
      <c r="P50" t="n">
        <v>752508</v>
      </c>
      <c r="Q50" t="n">
        <v>775217</v>
      </c>
      <c r="R50" t="n">
        <v>778354</v>
      </c>
      <c r="S50" t="n">
        <v>808788</v>
      </c>
      <c r="T50" t="n">
        <v>790114</v>
      </c>
      <c r="U50" t="n">
        <v>770891</v>
      </c>
      <c r="V50" t="n">
        <v>793132</v>
      </c>
      <c r="W50" t="n">
        <v>902195</v>
      </c>
      <c r="X50" t="n">
        <v>972883</v>
      </c>
      <c r="Y50" t="n">
        <v>1004051</v>
      </c>
      <c r="Z50" t="n">
        <v>1037011</v>
      </c>
      <c r="AA50" t="n">
        <v>1120306</v>
      </c>
      <c r="AB50" t="n">
        <v>1238389</v>
      </c>
      <c r="AC50" t="n">
        <v>1357576</v>
      </c>
      <c r="AD50" t="n">
        <v>1481640</v>
      </c>
      <c r="AE50" t="n">
        <v>1656453</v>
      </c>
      <c r="AF50" t="n">
        <v>1915461</v>
      </c>
    </row>
    <row r="51">
      <c r="A51" t="s">
        <v>16</v>
      </c>
      <c r="B51" t="s">
        <v>259</v>
      </c>
      <c r="C51" t="s">
        <v>129</v>
      </c>
      <c r="D51" t="s">
        <v>260</v>
      </c>
      <c r="E51" t="s">
        <v>130</v>
      </c>
      <c r="F51" t="n">
        <v>128530</v>
      </c>
      <c r="G51" t="n">
        <v>157642</v>
      </c>
      <c r="H51" t="n">
        <v>179910</v>
      </c>
      <c r="I51" t="n">
        <v>212940</v>
      </c>
      <c r="J51" t="n">
        <v>237916</v>
      </c>
      <c r="K51" t="n">
        <v>288352</v>
      </c>
      <c r="L51" t="n">
        <v>335724</v>
      </c>
      <c r="M51" t="n">
        <v>408550</v>
      </c>
      <c r="N51" t="n">
        <v>498030</v>
      </c>
      <c r="O51" t="n">
        <v>530472</v>
      </c>
      <c r="P51" t="n">
        <v>556681</v>
      </c>
      <c r="Q51" t="n">
        <v>568401</v>
      </c>
      <c r="R51" t="n">
        <v>565484</v>
      </c>
      <c r="S51" t="n">
        <v>585880</v>
      </c>
      <c r="T51" t="n">
        <v>569589</v>
      </c>
      <c r="U51" t="n">
        <v>554880</v>
      </c>
      <c r="V51" t="n">
        <v>580752</v>
      </c>
      <c r="W51" t="n">
        <v>680832</v>
      </c>
      <c r="X51" t="n">
        <v>731804</v>
      </c>
      <c r="Y51" t="n">
        <v>740060</v>
      </c>
      <c r="Z51" t="n">
        <v>756188</v>
      </c>
      <c r="AA51" t="n">
        <v>816510</v>
      </c>
      <c r="AB51" t="n">
        <v>893678</v>
      </c>
      <c r="AC51" t="n">
        <v>978832</v>
      </c>
      <c r="AD51" t="n">
        <v>1064342</v>
      </c>
      <c r="AE51" t="n">
        <v>1198678</v>
      </c>
      <c r="AF51" t="n">
        <v>1427796</v>
      </c>
    </row>
    <row r="52">
      <c r="A52" t="s">
        <v>16</v>
      </c>
      <c r="B52" t="s">
        <v>261</v>
      </c>
      <c r="C52" t="s">
        <v>129</v>
      </c>
      <c r="D52" t="s">
        <v>262</v>
      </c>
      <c r="E52" t="s">
        <v>130</v>
      </c>
      <c r="F52" t="n">
        <v>41391</v>
      </c>
      <c r="G52" t="n">
        <v>47338</v>
      </c>
      <c r="H52" t="n">
        <v>56127</v>
      </c>
      <c r="I52" t="n">
        <v>66184</v>
      </c>
      <c r="J52" t="n">
        <v>71716</v>
      </c>
      <c r="K52" t="n">
        <v>81501</v>
      </c>
      <c r="L52" t="n">
        <v>98940</v>
      </c>
      <c r="M52" t="n">
        <v>123412</v>
      </c>
      <c r="N52" t="n">
        <v>160042</v>
      </c>
      <c r="O52" t="n">
        <v>175037</v>
      </c>
      <c r="P52" t="n">
        <v>195827</v>
      </c>
      <c r="Q52" t="n">
        <v>206816</v>
      </c>
      <c r="R52" t="n">
        <v>212870</v>
      </c>
      <c r="S52" t="n">
        <v>222908</v>
      </c>
      <c r="T52" t="n">
        <v>220525</v>
      </c>
      <c r="U52" t="n">
        <v>216011</v>
      </c>
      <c r="V52" t="n">
        <v>212380</v>
      </c>
      <c r="W52" t="n">
        <v>221363</v>
      </c>
      <c r="X52" t="n">
        <v>241079</v>
      </c>
      <c r="Y52" t="n">
        <v>263991</v>
      </c>
      <c r="Z52" t="n">
        <v>280823</v>
      </c>
      <c r="AA52" t="n">
        <v>303796</v>
      </c>
      <c r="AB52" t="n">
        <v>344711</v>
      </c>
      <c r="AC52" t="n">
        <v>378744</v>
      </c>
      <c r="AD52" t="n">
        <v>417298</v>
      </c>
      <c r="AE52" t="n">
        <v>457775</v>
      </c>
      <c r="AF52" t="n">
        <v>487665</v>
      </c>
    </row>
    <row r="53">
      <c r="A53" t="s">
        <v>16</v>
      </c>
      <c r="B53" t="s">
        <v>263</v>
      </c>
      <c r="C53" t="s">
        <v>129</v>
      </c>
      <c r="D53" t="s">
        <v>264</v>
      </c>
      <c r="E53" t="s">
        <v>130</v>
      </c>
      <c r="F53" t="n">
        <v>51162</v>
      </c>
      <c r="G53" t="n">
        <v>59786</v>
      </c>
      <c r="H53" t="n">
        <v>56943</v>
      </c>
      <c r="I53" t="n">
        <v>76473</v>
      </c>
      <c r="J53" t="n">
        <v>77623</v>
      </c>
      <c r="K53" t="n">
        <v>84963</v>
      </c>
      <c r="L53" t="n">
        <v>103149</v>
      </c>
      <c r="M53" t="n">
        <v>124216</v>
      </c>
      <c r="N53" t="n">
        <v>141459</v>
      </c>
      <c r="O53" t="n">
        <v>155222</v>
      </c>
      <c r="P53" t="n">
        <v>162625</v>
      </c>
      <c r="Q53" t="n">
        <v>174540</v>
      </c>
      <c r="R53" t="n">
        <v>181272</v>
      </c>
      <c r="S53" t="n">
        <v>192817</v>
      </c>
      <c r="T53" t="n">
        <v>185271</v>
      </c>
      <c r="U53" t="n">
        <v>195144</v>
      </c>
      <c r="V53" t="n">
        <v>196283</v>
      </c>
      <c r="W53" t="n">
        <v>204680</v>
      </c>
      <c r="X53" t="n">
        <v>209464</v>
      </c>
      <c r="Y53" t="n">
        <v>222643</v>
      </c>
      <c r="Z53" t="n">
        <v>243796</v>
      </c>
      <c r="AA53" t="n">
        <v>270175</v>
      </c>
      <c r="AB53" t="n">
        <v>337234</v>
      </c>
      <c r="AC53" t="n">
        <v>366822</v>
      </c>
      <c r="AD53" t="n">
        <v>394602</v>
      </c>
      <c r="AE53" t="n">
        <v>387212</v>
      </c>
      <c r="AF53" t="n">
        <v>454025</v>
      </c>
    </row>
    <row r="54">
      <c r="A54" t="s">
        <v>16</v>
      </c>
      <c r="B54" t="s">
        <v>265</v>
      </c>
      <c r="C54" t="s">
        <v>129</v>
      </c>
      <c r="D54" t="s">
        <v>266</v>
      </c>
      <c r="E54" t="s">
        <v>130</v>
      </c>
      <c r="F54" t="n">
        <v>86051</v>
      </c>
      <c r="G54" t="n">
        <v>101597</v>
      </c>
      <c r="H54" t="n">
        <v>105700</v>
      </c>
      <c r="I54" t="n">
        <v>136189</v>
      </c>
      <c r="J54" t="n">
        <v>142215</v>
      </c>
      <c r="K54" t="n">
        <v>157274</v>
      </c>
      <c r="L54" t="n">
        <v>190841</v>
      </c>
      <c r="M54" t="n">
        <v>225224</v>
      </c>
      <c r="N54" t="n">
        <v>256075</v>
      </c>
      <c r="O54" t="n">
        <v>287343</v>
      </c>
      <c r="P54" t="n">
        <v>314469</v>
      </c>
      <c r="Q54" t="n">
        <v>333786</v>
      </c>
      <c r="R54" t="n">
        <v>347846</v>
      </c>
      <c r="S54" t="n">
        <v>359425</v>
      </c>
      <c r="T54" t="n">
        <v>353792</v>
      </c>
      <c r="U54" t="n">
        <v>362164</v>
      </c>
      <c r="V54" t="n">
        <v>369787</v>
      </c>
      <c r="W54" t="n">
        <v>380679</v>
      </c>
      <c r="X54" t="n">
        <v>398993</v>
      </c>
      <c r="Y54" t="n">
        <v>403341</v>
      </c>
      <c r="Z54" t="n">
        <v>440749</v>
      </c>
      <c r="AA54" t="n">
        <v>473441</v>
      </c>
      <c r="AB54" t="n">
        <v>559070</v>
      </c>
      <c r="AC54" t="n">
        <v>603232</v>
      </c>
      <c r="AD54" t="n">
        <v>672369</v>
      </c>
      <c r="AE54" t="n">
        <v>643668</v>
      </c>
      <c r="AF54" t="n">
        <v>730796</v>
      </c>
    </row>
    <row r="55">
      <c r="A55" t="s">
        <v>16</v>
      </c>
      <c r="B55" t="s">
        <v>267</v>
      </c>
      <c r="C55" t="s">
        <v>129</v>
      </c>
      <c r="D55" t="s">
        <v>268</v>
      </c>
      <c r="E55" t="s">
        <v>130</v>
      </c>
      <c r="F55" t="n">
        <v>34889</v>
      </c>
      <c r="G55" t="n">
        <v>41811</v>
      </c>
      <c r="H55" t="n">
        <v>48757</v>
      </c>
      <c r="I55" t="n">
        <v>59716</v>
      </c>
      <c r="J55" t="n">
        <v>64592</v>
      </c>
      <c r="K55" t="n">
        <v>72311</v>
      </c>
      <c r="L55" t="n">
        <v>87692</v>
      </c>
      <c r="M55" t="n">
        <v>101008</v>
      </c>
      <c r="N55" t="n">
        <v>114616</v>
      </c>
      <c r="O55" t="n">
        <v>132121</v>
      </c>
      <c r="P55" t="n">
        <v>151844</v>
      </c>
      <c r="Q55" t="n">
        <v>159246</v>
      </c>
      <c r="R55" t="n">
        <v>166574</v>
      </c>
      <c r="S55" t="n">
        <v>166608</v>
      </c>
      <c r="T55" t="n">
        <v>168521</v>
      </c>
      <c r="U55" t="n">
        <v>167020</v>
      </c>
      <c r="V55" t="n">
        <v>173504</v>
      </c>
      <c r="W55" t="n">
        <v>175999</v>
      </c>
      <c r="X55" t="n">
        <v>189529</v>
      </c>
      <c r="Y55" t="n">
        <v>180698</v>
      </c>
      <c r="Z55" t="n">
        <v>196953</v>
      </c>
      <c r="AA55" t="n">
        <v>203266</v>
      </c>
      <c r="AB55" t="n">
        <v>221836</v>
      </c>
      <c r="AC55" t="n">
        <v>236410</v>
      </c>
      <c r="AD55" t="n">
        <v>277767</v>
      </c>
      <c r="AE55" t="n">
        <v>256456</v>
      </c>
      <c r="AF55" t="n">
        <v>276771</v>
      </c>
    </row>
    <row r="56">
      <c r="A56" t="s">
        <v>16</v>
      </c>
      <c r="B56" t="s">
        <v>269</v>
      </c>
      <c r="C56" t="s">
        <v>129</v>
      </c>
      <c r="D56" t="s">
        <v>270</v>
      </c>
      <c r="E56" t="s">
        <v>130</v>
      </c>
      <c r="F56" t="n">
        <v>705</v>
      </c>
      <c r="G56" t="n">
        <v>898</v>
      </c>
      <c r="H56" t="n">
        <v>1269</v>
      </c>
      <c r="I56" t="n">
        <v>1566</v>
      </c>
      <c r="J56" t="n">
        <v>1790</v>
      </c>
      <c r="K56" t="n">
        <v>2277</v>
      </c>
      <c r="L56" t="n">
        <v>2950</v>
      </c>
      <c r="M56" t="n">
        <v>3400</v>
      </c>
      <c r="N56" t="n">
        <v>3380</v>
      </c>
      <c r="O56" t="n">
        <v>3404</v>
      </c>
      <c r="P56" t="n">
        <v>3200</v>
      </c>
      <c r="Q56" t="n">
        <v>3870</v>
      </c>
      <c r="R56" t="n">
        <v>3552</v>
      </c>
      <c r="S56" t="n">
        <v>3100</v>
      </c>
      <c r="T56" t="n">
        <v>2305</v>
      </c>
      <c r="U56" t="n">
        <v>3537</v>
      </c>
      <c r="V56" t="n">
        <v>3615</v>
      </c>
      <c r="W56" t="n">
        <v>3820</v>
      </c>
      <c r="X56" t="n">
        <v>3885</v>
      </c>
      <c r="Y56" t="n">
        <v>3885</v>
      </c>
      <c r="Z56" t="n">
        <v>5726</v>
      </c>
      <c r="AA56" t="n">
        <v>6410</v>
      </c>
      <c r="AB56" t="n">
        <v>6460</v>
      </c>
      <c r="AC56" t="n">
        <v>11888</v>
      </c>
      <c r="AD56" t="n">
        <v>8941</v>
      </c>
      <c r="AE56" t="n">
        <v>9133</v>
      </c>
      <c r="AF56" t="n">
        <v>8775</v>
      </c>
    </row>
    <row r="57">
      <c r="A57" t="s">
        <v>16</v>
      </c>
      <c r="B57" t="s">
        <v>271</v>
      </c>
      <c r="C57" t="s">
        <v>129</v>
      </c>
      <c r="D57" t="s">
        <v>272</v>
      </c>
      <c r="E57" t="s">
        <v>130</v>
      </c>
      <c r="F57" t="n">
        <v>2627870</v>
      </c>
      <c r="G57" t="n">
        <v>3161197</v>
      </c>
      <c r="H57" t="n">
        <v>3901398</v>
      </c>
      <c r="I57" t="n">
        <v>4592380</v>
      </c>
      <c r="J57" t="n">
        <v>5019206</v>
      </c>
      <c r="K57" t="n">
        <v>5910393</v>
      </c>
      <c r="L57" t="n">
        <v>6907146</v>
      </c>
      <c r="M57" t="n">
        <v>7692348</v>
      </c>
      <c r="N57" t="n">
        <v>8700785</v>
      </c>
      <c r="O57" t="n">
        <v>9587323</v>
      </c>
      <c r="P57" t="n">
        <v>10425291</v>
      </c>
      <c r="Q57" t="n">
        <v>11092947</v>
      </c>
      <c r="R57" t="n">
        <v>11744388</v>
      </c>
      <c r="S57" t="n">
        <v>12334318</v>
      </c>
      <c r="T57" t="n">
        <v>11893490</v>
      </c>
      <c r="U57" t="n">
        <v>12009651</v>
      </c>
      <c r="V57" t="n">
        <v>12462019</v>
      </c>
      <c r="W57" t="n">
        <v>12947999</v>
      </c>
      <c r="X57" t="n">
        <v>13312151</v>
      </c>
      <c r="Y57" t="n">
        <v>13995219</v>
      </c>
      <c r="Z57" t="n">
        <v>14642639</v>
      </c>
      <c r="AA57" t="n">
        <v>15589854</v>
      </c>
      <c r="AB57" t="n">
        <v>16917661</v>
      </c>
      <c r="AC57" t="n">
        <v>18339542</v>
      </c>
      <c r="AD57" t="n">
        <v>20179517</v>
      </c>
      <c r="AE57" t="n">
        <v>20494892</v>
      </c>
      <c r="AF57" t="n">
        <v>22428716</v>
      </c>
    </row>
    <row r="58">
      <c r="A58" t="s">
        <v>16</v>
      </c>
      <c r="B58" t="s">
        <v>273</v>
      </c>
      <c r="C58" t="s">
        <v>129</v>
      </c>
      <c r="D58" t="s">
        <v>274</v>
      </c>
      <c r="E58" t="s">
        <v>130</v>
      </c>
      <c r="F58" t="n">
        <v>2627165</v>
      </c>
      <c r="G58" t="n">
        <v>3160299</v>
      </c>
      <c r="H58" t="n">
        <v>3900129</v>
      </c>
      <c r="I58" t="n">
        <v>4590814</v>
      </c>
      <c r="J58" t="n">
        <v>5017416</v>
      </c>
      <c r="K58" t="n">
        <v>5908116</v>
      </c>
      <c r="L58" t="n">
        <v>6904196</v>
      </c>
      <c r="M58" t="n">
        <v>7688948</v>
      </c>
      <c r="N58" t="n">
        <v>8697405</v>
      </c>
      <c r="O58" t="n">
        <v>9583919</v>
      </c>
      <c r="P58" t="n">
        <v>10422091</v>
      </c>
      <c r="Q58" t="n">
        <v>11089077</v>
      </c>
      <c r="R58" t="n">
        <v>11740836</v>
      </c>
      <c r="S58" t="n">
        <v>12331218</v>
      </c>
      <c r="T58" t="n">
        <v>11891185</v>
      </c>
      <c r="U58" t="n">
        <v>12006114</v>
      </c>
      <c r="V58" t="n">
        <v>12458404</v>
      </c>
      <c r="W58" t="n">
        <v>12944179</v>
      </c>
      <c r="X58" t="n">
        <v>13308266</v>
      </c>
      <c r="Y58" t="n">
        <v>13991334</v>
      </c>
      <c r="Z58" t="n">
        <v>14636913</v>
      </c>
      <c r="AA58" t="n">
        <v>15583444</v>
      </c>
      <c r="AB58" t="n">
        <v>16911201</v>
      </c>
      <c r="AC58" t="n">
        <v>18327654</v>
      </c>
      <c r="AD58" t="n">
        <v>20170576</v>
      </c>
      <c r="AE58" t="n">
        <v>20485759</v>
      </c>
      <c r="AF58" t="n">
        <v>22419941</v>
      </c>
    </row>
    <row r="59">
      <c r="A59" t="s">
        <v>16</v>
      </c>
      <c r="B59" t="s">
        <v>275</v>
      </c>
      <c r="C59" t="s">
        <v>129</v>
      </c>
      <c r="D59" t="s">
        <v>276</v>
      </c>
      <c r="E59" t="s">
        <v>130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>
      <c r="A2" t="s">
        <v>18</v>
      </c>
      <c r="B2" t="s">
        <v>84</v>
      </c>
      <c r="C2" t="s">
        <v>129</v>
      </c>
      <c r="D2" t="s">
        <v>86</v>
      </c>
      <c r="E2" t="s">
        <v>130</v>
      </c>
      <c r="F2" t="n">
        <v>330.94</v>
      </c>
      <c r="G2" t="n">
        <v>341.38</v>
      </c>
      <c r="H2" t="n">
        <v>328.18</v>
      </c>
      <c r="I2" t="n">
        <v>311.76</v>
      </c>
      <c r="J2" t="n">
        <v>308.3</v>
      </c>
      <c r="K2" t="n">
        <v>287.26</v>
      </c>
      <c r="L2" t="n">
        <v>272.85</v>
      </c>
      <c r="M2" t="n">
        <v>264.03</v>
      </c>
      <c r="N2" t="n">
        <v>235.11</v>
      </c>
      <c r="O2" t="n">
        <v>218.76</v>
      </c>
      <c r="P2" t="n">
        <v>209.72</v>
      </c>
      <c r="Q2" t="n">
        <v>204.64</v>
      </c>
      <c r="R2" t="n">
        <v>194.22</v>
      </c>
      <c r="S2" t="n">
        <v>180.28</v>
      </c>
      <c r="T2" t="n">
        <v>163.6</v>
      </c>
      <c r="U2" t="n">
        <v>163.13</v>
      </c>
      <c r="V2" t="n">
        <v>170.03</v>
      </c>
      <c r="W2" t="n">
        <v>191.23</v>
      </c>
      <c r="X2" t="n">
        <v>171.37</v>
      </c>
      <c r="Y2" t="n">
        <v>173.31</v>
      </c>
      <c r="Z2" t="n">
        <v>174.64</v>
      </c>
      <c r="AA2" t="n">
        <v>187.99</v>
      </c>
      <c r="AB2" t="n">
        <v>193.42</v>
      </c>
      <c r="AC2" t="n">
        <v>189.66</v>
      </c>
      <c r="AD2" t="n">
        <v>185.09</v>
      </c>
      <c r="AE2" t="n">
        <v>188.65</v>
      </c>
      <c r="AF2" t="n">
        <v>178.09</v>
      </c>
    </row>
    <row r="3">
      <c r="A3" t="s">
        <v>18</v>
      </c>
      <c r="B3" t="s">
        <v>163</v>
      </c>
      <c r="C3" t="s">
        <v>129</v>
      </c>
      <c r="D3" t="s">
        <v>164</v>
      </c>
      <c r="E3" t="s">
        <v>130</v>
      </c>
      <c r="F3" t="n">
        <v>33.32</v>
      </c>
      <c r="G3" t="n">
        <v>32.24</v>
      </c>
      <c r="H3" t="n">
        <v>26.59</v>
      </c>
      <c r="I3" t="n">
        <v>25.31</v>
      </c>
      <c r="J3" t="n">
        <v>22.06</v>
      </c>
      <c r="K3" t="n">
        <v>18.73</v>
      </c>
      <c r="L3" t="n">
        <v>12.54</v>
      </c>
      <c r="M3" t="n">
        <v>14.14</v>
      </c>
      <c r="N3" t="n">
        <v>12.37</v>
      </c>
      <c r="O3" t="n">
        <v>13.48</v>
      </c>
      <c r="P3" t="n">
        <v>13.8</v>
      </c>
      <c r="Q3" t="n">
        <v>13.84</v>
      </c>
      <c r="R3" t="n">
        <v>13.57</v>
      </c>
      <c r="S3" t="n">
        <v>7.91</v>
      </c>
      <c r="T3" t="n">
        <v>7.35</v>
      </c>
      <c r="U3" t="n">
        <v>9.3</v>
      </c>
      <c r="V3" t="n">
        <v>8.01</v>
      </c>
      <c r="W3" t="n">
        <v>7.2</v>
      </c>
      <c r="X3" t="n">
        <v>4.83</v>
      </c>
      <c r="Y3" t="n">
        <v>6.23</v>
      </c>
      <c r="Z3" t="n">
        <v>6.04</v>
      </c>
      <c r="AA3" t="n">
        <v>6.03</v>
      </c>
      <c r="AB3" t="n">
        <v>6.25</v>
      </c>
      <c r="AC3" t="n">
        <v>6.15</v>
      </c>
      <c r="AD3" t="n">
        <v>6.41</v>
      </c>
      <c r="AE3" t="n">
        <v>4.82</v>
      </c>
      <c r="AF3" t="n">
        <v>4.73</v>
      </c>
    </row>
    <row r="4">
      <c r="A4" t="s">
        <v>18</v>
      </c>
      <c r="B4" t="s">
        <v>165</v>
      </c>
      <c r="C4" t="s">
        <v>129</v>
      </c>
      <c r="D4" t="s">
        <v>166</v>
      </c>
      <c r="E4" t="s">
        <v>130</v>
      </c>
      <c r="F4" t="n">
        <v>906.76</v>
      </c>
      <c r="G4" t="n">
        <v>913.09</v>
      </c>
      <c r="H4" t="n">
        <v>932.54</v>
      </c>
      <c r="I4" t="n">
        <v>975.89</v>
      </c>
      <c r="J4" t="n">
        <v>997.56</v>
      </c>
      <c r="K4" t="n">
        <v>999.75</v>
      </c>
      <c r="L4" t="n">
        <v>1004.57</v>
      </c>
      <c r="M4" t="n">
        <v>1002.72</v>
      </c>
      <c r="N4" t="n">
        <v>990.9</v>
      </c>
      <c r="O4" t="n">
        <v>931.68</v>
      </c>
      <c r="P4" t="n">
        <v>916.33</v>
      </c>
      <c r="Q4" t="n">
        <v>913.17</v>
      </c>
      <c r="R4" t="n">
        <v>901.89</v>
      </c>
      <c r="S4" t="n">
        <v>875.24</v>
      </c>
      <c r="T4" t="n">
        <v>798.75</v>
      </c>
      <c r="U4" t="n">
        <v>779.49</v>
      </c>
      <c r="V4" t="n">
        <v>778.16</v>
      </c>
      <c r="W4" t="n">
        <v>799.39</v>
      </c>
      <c r="X4" t="n">
        <v>778.43</v>
      </c>
      <c r="Y4" t="n">
        <v>792.07</v>
      </c>
      <c r="Z4" t="n">
        <v>789.73</v>
      </c>
      <c r="AA4" t="n">
        <v>822.64</v>
      </c>
      <c r="AB4" t="n">
        <v>859.61</v>
      </c>
      <c r="AC4" t="n">
        <v>879.08</v>
      </c>
      <c r="AD4" t="n">
        <v>882.62</v>
      </c>
      <c r="AE4" t="n">
        <v>851</v>
      </c>
      <c r="AF4" t="n">
        <v>864.15</v>
      </c>
    </row>
    <row r="5">
      <c r="A5" t="s">
        <v>18</v>
      </c>
      <c r="B5" t="s">
        <v>167</v>
      </c>
      <c r="C5" t="s">
        <v>129</v>
      </c>
      <c r="D5" t="s">
        <v>168</v>
      </c>
      <c r="E5" t="s">
        <v>130</v>
      </c>
      <c r="F5" t="n">
        <v>170.46</v>
      </c>
      <c r="G5" t="n">
        <v>180.84</v>
      </c>
      <c r="H5" t="n">
        <v>167.81</v>
      </c>
      <c r="I5" t="n">
        <v>169.3</v>
      </c>
      <c r="J5" t="n">
        <v>170.48</v>
      </c>
      <c r="K5" t="n">
        <v>161.66</v>
      </c>
      <c r="L5" t="n">
        <v>165.37</v>
      </c>
      <c r="M5" t="n">
        <v>170.51</v>
      </c>
      <c r="N5" t="n">
        <v>157.93</v>
      </c>
      <c r="O5" t="n">
        <v>127.69</v>
      </c>
      <c r="P5" t="n">
        <v>117.03</v>
      </c>
      <c r="Q5" t="n">
        <v>125.49</v>
      </c>
      <c r="R5" t="n">
        <v>118.35</v>
      </c>
      <c r="S5" t="n">
        <v>121.67</v>
      </c>
      <c r="T5" t="n">
        <v>116.53</v>
      </c>
      <c r="U5" t="n">
        <v>118.36</v>
      </c>
      <c r="V5" t="n">
        <v>118.4</v>
      </c>
      <c r="W5" t="n">
        <v>125.13</v>
      </c>
      <c r="X5" t="n">
        <v>117.45</v>
      </c>
      <c r="Y5" t="n">
        <v>120.35</v>
      </c>
      <c r="Z5" t="n">
        <v>124.95</v>
      </c>
      <c r="AA5" t="n">
        <v>128.96</v>
      </c>
      <c r="AB5" t="n">
        <v>127.41</v>
      </c>
      <c r="AC5" t="n">
        <v>125.2</v>
      </c>
      <c r="AD5" t="n">
        <v>126.33</v>
      </c>
      <c r="AE5" t="n">
        <v>123.98</v>
      </c>
      <c r="AF5" t="n">
        <v>125.04</v>
      </c>
    </row>
    <row r="6">
      <c r="A6" t="s">
        <v>18</v>
      </c>
      <c r="B6" t="s">
        <v>169</v>
      </c>
      <c r="C6" t="s">
        <v>129</v>
      </c>
      <c r="D6" t="s">
        <v>170</v>
      </c>
      <c r="E6" t="s">
        <v>130</v>
      </c>
      <c r="F6" t="n">
        <v>168.12</v>
      </c>
      <c r="G6" t="n">
        <v>164.91</v>
      </c>
      <c r="H6" t="n">
        <v>178.92</v>
      </c>
      <c r="I6" t="n">
        <v>188.77</v>
      </c>
      <c r="J6" t="n">
        <v>178.47</v>
      </c>
      <c r="K6" t="n">
        <v>174.38</v>
      </c>
      <c r="L6" t="n">
        <v>163.1</v>
      </c>
      <c r="M6" t="n">
        <v>155.2</v>
      </c>
      <c r="N6" t="n">
        <v>144.38</v>
      </c>
      <c r="O6" t="n">
        <v>118.5</v>
      </c>
      <c r="P6" t="n">
        <v>102.16</v>
      </c>
      <c r="Q6" t="n">
        <v>98.77</v>
      </c>
      <c r="R6" t="n">
        <v>87.5</v>
      </c>
      <c r="S6" t="n">
        <v>72.57</v>
      </c>
      <c r="T6" t="n">
        <v>65.21</v>
      </c>
      <c r="U6" t="n">
        <v>67.48</v>
      </c>
      <c r="V6" t="n">
        <v>63.41</v>
      </c>
      <c r="W6" t="n">
        <v>64.7</v>
      </c>
      <c r="X6" t="n">
        <v>53.74</v>
      </c>
      <c r="Y6" t="n">
        <v>55.15</v>
      </c>
      <c r="Z6" t="n">
        <v>54.19</v>
      </c>
      <c r="AA6" t="n">
        <v>54.73</v>
      </c>
      <c r="AB6" t="n">
        <v>54.17</v>
      </c>
      <c r="AC6" t="n">
        <v>51.85</v>
      </c>
      <c r="AD6" t="n">
        <v>50.67</v>
      </c>
      <c r="AE6" t="n">
        <v>42.47</v>
      </c>
      <c r="AF6" t="n">
        <v>42.07</v>
      </c>
    </row>
    <row r="7">
      <c r="A7" t="s">
        <v>18</v>
      </c>
      <c r="B7" t="s">
        <v>171</v>
      </c>
      <c r="C7" t="s">
        <v>129</v>
      </c>
      <c r="D7" t="s">
        <v>172</v>
      </c>
      <c r="E7" t="s">
        <v>130</v>
      </c>
      <c r="F7" t="n">
        <v>69.25</v>
      </c>
      <c r="G7" t="n">
        <v>72.79</v>
      </c>
      <c r="H7" t="n">
        <v>71.59</v>
      </c>
      <c r="I7" t="n">
        <v>70.23</v>
      </c>
      <c r="J7" t="n">
        <v>76.12</v>
      </c>
      <c r="K7" t="n">
        <v>73.02</v>
      </c>
      <c r="L7" t="n">
        <v>72.38</v>
      </c>
      <c r="M7" t="n">
        <v>76.3</v>
      </c>
      <c r="N7" t="n">
        <v>74.27</v>
      </c>
      <c r="O7" t="n">
        <v>73.57</v>
      </c>
      <c r="P7" t="n">
        <v>75.97</v>
      </c>
      <c r="Q7" t="n">
        <v>76.15</v>
      </c>
      <c r="R7" t="n">
        <v>75.94</v>
      </c>
      <c r="S7" t="n">
        <v>69.29</v>
      </c>
      <c r="T7" t="n">
        <v>55.78</v>
      </c>
      <c r="U7" t="n">
        <v>56.97</v>
      </c>
      <c r="V7" t="n">
        <v>51.95</v>
      </c>
      <c r="W7" t="n">
        <v>52.25</v>
      </c>
      <c r="X7" t="n">
        <v>49.08</v>
      </c>
      <c r="Y7" t="n">
        <v>55.19</v>
      </c>
      <c r="Z7" t="n">
        <v>48.29</v>
      </c>
      <c r="AA7" t="n">
        <v>52.4</v>
      </c>
      <c r="AB7" t="n">
        <v>54.17</v>
      </c>
      <c r="AC7" t="n">
        <v>55.88</v>
      </c>
      <c r="AD7" t="n">
        <v>55.96</v>
      </c>
      <c r="AE7" t="n">
        <v>51.92</v>
      </c>
      <c r="AF7" t="n">
        <v>58.63</v>
      </c>
    </row>
    <row r="8">
      <c r="A8" t="s">
        <v>18</v>
      </c>
      <c r="B8" t="s">
        <v>173</v>
      </c>
      <c r="C8" t="s">
        <v>129</v>
      </c>
      <c r="D8" t="s">
        <v>174</v>
      </c>
      <c r="E8" t="s">
        <v>130</v>
      </c>
      <c r="F8" t="n">
        <v>7.66</v>
      </c>
      <c r="G8" t="n">
        <v>6.11</v>
      </c>
      <c r="H8" t="n">
        <v>5.3</v>
      </c>
      <c r="I8" t="n">
        <v>5.78</v>
      </c>
      <c r="J8" t="n">
        <v>5.69</v>
      </c>
      <c r="K8" t="n">
        <v>7.17</v>
      </c>
      <c r="L8" t="n">
        <v>7.06</v>
      </c>
      <c r="M8" t="n">
        <v>7.05</v>
      </c>
      <c r="N8" t="n">
        <v>6.86</v>
      </c>
      <c r="O8" t="n">
        <v>5.01</v>
      </c>
      <c r="P8" t="n">
        <v>6.08</v>
      </c>
      <c r="Q8" t="n">
        <v>6.51</v>
      </c>
      <c r="R8" t="n">
        <v>6.66</v>
      </c>
      <c r="S8" t="n">
        <v>8.46</v>
      </c>
      <c r="T8" t="n">
        <v>7.11</v>
      </c>
      <c r="U8" t="n">
        <v>6.87</v>
      </c>
      <c r="V8" t="n">
        <v>6.74</v>
      </c>
      <c r="W8" t="n">
        <v>6.92</v>
      </c>
      <c r="X8" t="n">
        <v>6.23</v>
      </c>
      <c r="Y8" t="n">
        <v>7.58</v>
      </c>
      <c r="Z8" t="n">
        <v>7.31</v>
      </c>
      <c r="AA8" t="n">
        <v>7.03</v>
      </c>
      <c r="AB8" t="n">
        <v>7.23</v>
      </c>
      <c r="AC8" t="n">
        <v>7.8</v>
      </c>
      <c r="AD8" t="n">
        <v>7.21</v>
      </c>
      <c r="AE8" t="n">
        <v>6.53</v>
      </c>
      <c r="AF8" t="n">
        <v>6.79</v>
      </c>
    </row>
    <row r="9">
      <c r="A9" t="s">
        <v>18</v>
      </c>
      <c r="B9" t="s">
        <v>175</v>
      </c>
      <c r="C9" t="s">
        <v>129</v>
      </c>
      <c r="D9" t="s">
        <v>176</v>
      </c>
      <c r="E9" t="s">
        <v>130</v>
      </c>
      <c r="F9" t="n">
        <v>29.19</v>
      </c>
      <c r="G9" t="n">
        <v>29.13</v>
      </c>
      <c r="H9" t="n">
        <v>26.91</v>
      </c>
      <c r="I9" t="n">
        <v>27.83</v>
      </c>
      <c r="J9" t="n">
        <v>27.88</v>
      </c>
      <c r="K9" t="n">
        <v>24.54</v>
      </c>
      <c r="L9" t="n">
        <v>22.22</v>
      </c>
      <c r="M9" t="n">
        <v>21.56</v>
      </c>
      <c r="N9" t="n">
        <v>22.04</v>
      </c>
      <c r="O9" t="n">
        <v>23.53</v>
      </c>
      <c r="P9" t="n">
        <v>23.72</v>
      </c>
      <c r="Q9" t="n">
        <v>20.63</v>
      </c>
      <c r="R9" t="n">
        <v>20.63</v>
      </c>
      <c r="S9" t="n">
        <v>22.69</v>
      </c>
      <c r="T9" t="n">
        <v>18.26</v>
      </c>
      <c r="U9" t="n">
        <v>21.55</v>
      </c>
      <c r="V9" t="n">
        <v>18.79</v>
      </c>
      <c r="W9" t="n">
        <v>18.04</v>
      </c>
      <c r="X9" t="n">
        <v>15.14</v>
      </c>
      <c r="Y9" t="n">
        <v>15.43</v>
      </c>
      <c r="Z9" t="n">
        <v>16.21</v>
      </c>
      <c r="AA9" t="n">
        <v>15.86</v>
      </c>
      <c r="AB9" t="n">
        <v>17.78</v>
      </c>
      <c r="AC9" t="n">
        <v>18.02</v>
      </c>
      <c r="AD9" t="n">
        <v>19.06</v>
      </c>
      <c r="AE9" t="n">
        <v>20.66</v>
      </c>
      <c r="AF9" t="n">
        <v>21.31</v>
      </c>
    </row>
    <row r="10">
      <c r="A10" t="s">
        <v>18</v>
      </c>
      <c r="B10" t="s">
        <v>177</v>
      </c>
      <c r="C10" t="s">
        <v>129</v>
      </c>
      <c r="D10" t="s">
        <v>178</v>
      </c>
      <c r="E10" t="s">
        <v>130</v>
      </c>
      <c r="F10" t="n">
        <v>66.2</v>
      </c>
      <c r="G10" t="n">
        <v>66.07</v>
      </c>
      <c r="H10" t="n">
        <v>60.99</v>
      </c>
      <c r="I10" t="n">
        <v>63.12</v>
      </c>
      <c r="J10" t="n">
        <v>62.91</v>
      </c>
      <c r="K10" t="n">
        <v>55.4</v>
      </c>
      <c r="L10" t="n">
        <v>49.4</v>
      </c>
      <c r="M10" t="n">
        <v>47.97</v>
      </c>
      <c r="N10" t="n">
        <v>49.75</v>
      </c>
      <c r="O10" t="n">
        <v>52.47</v>
      </c>
      <c r="P10" t="n">
        <v>53.77</v>
      </c>
      <c r="Q10" t="n">
        <v>46.79</v>
      </c>
      <c r="R10" t="n">
        <v>46.85</v>
      </c>
      <c r="S10" t="n">
        <v>45.55</v>
      </c>
      <c r="T10" t="n">
        <v>43.47</v>
      </c>
      <c r="U10" t="n">
        <v>44.68</v>
      </c>
      <c r="V10" t="n">
        <v>43.73</v>
      </c>
      <c r="W10" t="n">
        <v>43.48</v>
      </c>
      <c r="X10" t="n">
        <v>37.47</v>
      </c>
      <c r="Y10" t="n">
        <v>36.98</v>
      </c>
      <c r="Z10" t="n">
        <v>36.9</v>
      </c>
      <c r="AA10" t="n">
        <v>35.55</v>
      </c>
      <c r="AB10" t="n">
        <v>39.87</v>
      </c>
      <c r="AC10" t="n">
        <v>40.33</v>
      </c>
      <c r="AD10" t="n">
        <v>39.96</v>
      </c>
      <c r="AE10" t="n">
        <v>46.65</v>
      </c>
      <c r="AF10" t="n">
        <v>47.94</v>
      </c>
    </row>
    <row r="11">
      <c r="A11" t="s">
        <v>18</v>
      </c>
      <c r="B11" t="s">
        <v>179</v>
      </c>
      <c r="C11" t="s">
        <v>129</v>
      </c>
      <c r="D11" t="s">
        <v>180</v>
      </c>
      <c r="E11" t="s">
        <v>130</v>
      </c>
      <c r="F11" t="n">
        <v>37.01</v>
      </c>
      <c r="G11" t="n">
        <v>36.94</v>
      </c>
      <c r="H11" t="n">
        <v>34.08</v>
      </c>
      <c r="I11" t="n">
        <v>35.29</v>
      </c>
      <c r="J11" t="n">
        <v>35.03</v>
      </c>
      <c r="K11" t="n">
        <v>30.86</v>
      </c>
      <c r="L11" t="n">
        <v>27.18</v>
      </c>
      <c r="M11" t="n">
        <v>26.41</v>
      </c>
      <c r="N11" t="n">
        <v>27.71</v>
      </c>
      <c r="O11" t="n">
        <v>28.94</v>
      </c>
      <c r="P11" t="n">
        <v>30.05</v>
      </c>
      <c r="Q11" t="n">
        <v>26.16</v>
      </c>
      <c r="R11" t="n">
        <v>26.22</v>
      </c>
      <c r="S11" t="n">
        <v>22.86</v>
      </c>
      <c r="T11" t="n">
        <v>25.21</v>
      </c>
      <c r="U11" t="n">
        <v>23.13</v>
      </c>
      <c r="V11" t="n">
        <v>24.94</v>
      </c>
      <c r="W11" t="n">
        <v>25.44</v>
      </c>
      <c r="X11" t="n">
        <v>22.33</v>
      </c>
      <c r="Y11" t="n">
        <v>21.55</v>
      </c>
      <c r="Z11" t="n">
        <v>20.69</v>
      </c>
      <c r="AA11" t="n">
        <v>19.69</v>
      </c>
      <c r="AB11" t="n">
        <v>22.09</v>
      </c>
      <c r="AC11" t="n">
        <v>22.31</v>
      </c>
      <c r="AD11" t="n">
        <v>20.9</v>
      </c>
      <c r="AE11" t="n">
        <v>25.99</v>
      </c>
      <c r="AF11" t="n">
        <v>26.63</v>
      </c>
    </row>
    <row r="12">
      <c r="A12" t="s">
        <v>18</v>
      </c>
      <c r="B12" t="s">
        <v>181</v>
      </c>
      <c r="C12" t="s">
        <v>129</v>
      </c>
      <c r="D12" t="s">
        <v>182</v>
      </c>
      <c r="E12" t="s">
        <v>130</v>
      </c>
      <c r="F12" t="n">
        <v>66.28</v>
      </c>
      <c r="G12" t="n">
        <v>64.95</v>
      </c>
      <c r="H12" t="n">
        <v>67.87</v>
      </c>
      <c r="I12" t="n">
        <v>69.29</v>
      </c>
      <c r="J12" t="n">
        <v>75.55</v>
      </c>
      <c r="K12" t="n">
        <v>84.31</v>
      </c>
      <c r="L12" t="n">
        <v>84</v>
      </c>
      <c r="M12" t="n">
        <v>82.45</v>
      </c>
      <c r="N12" t="n">
        <v>82.97</v>
      </c>
      <c r="O12" t="n">
        <v>77.16</v>
      </c>
      <c r="P12" t="n">
        <v>75.32</v>
      </c>
      <c r="Q12" t="n">
        <v>79.04</v>
      </c>
      <c r="R12" t="n">
        <v>76.31</v>
      </c>
      <c r="S12" t="n">
        <v>85.16</v>
      </c>
      <c r="T12" t="n">
        <v>75.34</v>
      </c>
      <c r="U12" t="n">
        <v>71.71</v>
      </c>
      <c r="V12" t="n">
        <v>75.72</v>
      </c>
      <c r="W12" t="n">
        <v>73.98</v>
      </c>
      <c r="X12" t="n">
        <v>66.24</v>
      </c>
      <c r="Y12" t="n">
        <v>72.05</v>
      </c>
      <c r="Z12" t="n">
        <v>76.06</v>
      </c>
      <c r="AA12" t="n">
        <v>77.29</v>
      </c>
      <c r="AB12" t="n">
        <v>82.21</v>
      </c>
      <c r="AC12" t="n">
        <v>84.46</v>
      </c>
      <c r="AD12" t="n">
        <v>84.64</v>
      </c>
      <c r="AE12" t="n">
        <v>78.81</v>
      </c>
      <c r="AF12" t="n">
        <v>84.26</v>
      </c>
    </row>
    <row r="13">
      <c r="A13" t="s">
        <v>18</v>
      </c>
      <c r="B13" t="s">
        <v>183</v>
      </c>
      <c r="C13" t="s">
        <v>129</v>
      </c>
      <c r="D13" t="s">
        <v>184</v>
      </c>
      <c r="E13" t="s">
        <v>130</v>
      </c>
      <c r="F13" t="n">
        <v>97.97</v>
      </c>
      <c r="G13" t="n">
        <v>93.32</v>
      </c>
      <c r="H13" t="n">
        <v>98.72</v>
      </c>
      <c r="I13" t="n">
        <v>100.07</v>
      </c>
      <c r="J13" t="n">
        <v>105.9</v>
      </c>
      <c r="K13" t="n">
        <v>102.43</v>
      </c>
      <c r="L13" t="n">
        <v>106.43</v>
      </c>
      <c r="M13" t="n">
        <v>112.75</v>
      </c>
      <c r="N13" t="n">
        <v>114.88</v>
      </c>
      <c r="O13" t="n">
        <v>106.9</v>
      </c>
      <c r="P13" t="n">
        <v>110.8</v>
      </c>
      <c r="Q13" t="n">
        <v>114.3</v>
      </c>
      <c r="R13" t="n">
        <v>114.02</v>
      </c>
      <c r="S13" t="n">
        <v>104.12</v>
      </c>
      <c r="T13" t="n">
        <v>90.69</v>
      </c>
      <c r="U13" t="n">
        <v>90.53</v>
      </c>
      <c r="V13" t="n">
        <v>93.75</v>
      </c>
      <c r="W13" t="n">
        <v>89.91</v>
      </c>
      <c r="X13" t="n">
        <v>89.22</v>
      </c>
      <c r="Y13" t="n">
        <v>90.72</v>
      </c>
      <c r="Z13" t="n">
        <v>93.33</v>
      </c>
      <c r="AA13" t="n">
        <v>99.89</v>
      </c>
      <c r="AB13" t="n">
        <v>102.06</v>
      </c>
      <c r="AC13" t="n">
        <v>108.02</v>
      </c>
      <c r="AD13" t="n">
        <v>106.97</v>
      </c>
      <c r="AE13" t="n">
        <v>100.33</v>
      </c>
      <c r="AF13" t="n">
        <v>102.48</v>
      </c>
    </row>
    <row r="14">
      <c r="A14" t="s">
        <v>18</v>
      </c>
      <c r="B14" t="s">
        <v>185</v>
      </c>
      <c r="C14" t="s">
        <v>129</v>
      </c>
      <c r="D14" t="s">
        <v>186</v>
      </c>
      <c r="E14" t="s">
        <v>130</v>
      </c>
      <c r="F14" t="n">
        <v>40.32</v>
      </c>
      <c r="G14" t="n">
        <v>45.64</v>
      </c>
      <c r="H14" t="n">
        <v>52.87</v>
      </c>
      <c r="I14" t="n">
        <v>64.77</v>
      </c>
      <c r="J14" t="n">
        <v>66.94</v>
      </c>
      <c r="K14" t="n">
        <v>85.88</v>
      </c>
      <c r="L14" t="n">
        <v>97.1</v>
      </c>
      <c r="M14" t="n">
        <v>99.44</v>
      </c>
      <c r="N14" t="n">
        <v>98.31</v>
      </c>
      <c r="O14" t="n">
        <v>110.19</v>
      </c>
      <c r="P14" t="n">
        <v>110.61</v>
      </c>
      <c r="Q14" t="n">
        <v>99.07</v>
      </c>
      <c r="R14" t="n">
        <v>96.19</v>
      </c>
      <c r="S14" t="n">
        <v>81.81</v>
      </c>
      <c r="T14" t="n">
        <v>82.18</v>
      </c>
      <c r="U14" t="n">
        <v>79.05</v>
      </c>
      <c r="V14" t="n">
        <v>83.2</v>
      </c>
      <c r="W14" t="n">
        <v>86.68</v>
      </c>
      <c r="X14" t="n">
        <v>78.41</v>
      </c>
      <c r="Y14" t="n">
        <v>78.83</v>
      </c>
      <c r="Z14" t="n">
        <v>70.3</v>
      </c>
      <c r="AA14" t="n">
        <v>73.08</v>
      </c>
      <c r="AB14" t="n">
        <v>72.47</v>
      </c>
      <c r="AC14" t="n">
        <v>74.42</v>
      </c>
      <c r="AD14" t="n">
        <v>72.72</v>
      </c>
      <c r="AE14" t="n">
        <v>72.38</v>
      </c>
      <c r="AF14" t="n">
        <v>67.43</v>
      </c>
    </row>
    <row r="15">
      <c r="A15" t="s">
        <v>18</v>
      </c>
      <c r="B15" t="s">
        <v>187</v>
      </c>
      <c r="C15" t="s">
        <v>129</v>
      </c>
      <c r="D15" t="s">
        <v>188</v>
      </c>
      <c r="E15" t="s">
        <v>130</v>
      </c>
      <c r="F15" t="n">
        <v>92.06</v>
      </c>
      <c r="G15" t="n">
        <v>97.74</v>
      </c>
      <c r="H15" t="n">
        <v>105.33</v>
      </c>
      <c r="I15" t="n">
        <v>122.19</v>
      </c>
      <c r="J15" t="n">
        <v>126.61</v>
      </c>
      <c r="K15" t="n">
        <v>150.48</v>
      </c>
      <c r="L15" t="n">
        <v>163.78</v>
      </c>
      <c r="M15" t="n">
        <v>158.11</v>
      </c>
      <c r="N15" t="n">
        <v>162.39</v>
      </c>
      <c r="O15" t="n">
        <v>173</v>
      </c>
      <c r="P15" t="n">
        <v>174.77</v>
      </c>
      <c r="Q15" t="n">
        <v>164.46</v>
      </c>
      <c r="R15" t="n">
        <v>163.24</v>
      </c>
      <c r="S15" t="n">
        <v>155.05</v>
      </c>
      <c r="T15" t="n">
        <v>130.87</v>
      </c>
      <c r="U15" t="n">
        <v>131.18</v>
      </c>
      <c r="V15" t="n">
        <v>132.48</v>
      </c>
      <c r="W15" t="n">
        <v>133.2</v>
      </c>
      <c r="X15" t="n">
        <v>130.53</v>
      </c>
      <c r="Y15" t="n">
        <v>123.12</v>
      </c>
      <c r="Z15" t="n">
        <v>113.24</v>
      </c>
      <c r="AA15" t="n">
        <v>122.52</v>
      </c>
      <c r="AB15" t="n">
        <v>126</v>
      </c>
      <c r="AC15" t="n">
        <v>134.07</v>
      </c>
      <c r="AD15" t="n">
        <v>134.14</v>
      </c>
      <c r="AE15" t="n">
        <v>127.7</v>
      </c>
      <c r="AF15" t="n">
        <v>126.75</v>
      </c>
    </row>
    <row r="16">
      <c r="A16" t="s">
        <v>18</v>
      </c>
      <c r="B16" t="s">
        <v>189</v>
      </c>
      <c r="C16" t="s">
        <v>129</v>
      </c>
      <c r="D16" t="s">
        <v>190</v>
      </c>
      <c r="E16" t="s">
        <v>130</v>
      </c>
      <c r="F16" t="n">
        <v>51.74</v>
      </c>
      <c r="G16" t="n">
        <v>52.1</v>
      </c>
      <c r="H16" t="n">
        <v>52.46</v>
      </c>
      <c r="I16" t="n">
        <v>57.42</v>
      </c>
      <c r="J16" t="n">
        <v>59.67</v>
      </c>
      <c r="K16" t="n">
        <v>64.6</v>
      </c>
      <c r="L16" t="n">
        <v>66.68</v>
      </c>
      <c r="M16" t="n">
        <v>58.67</v>
      </c>
      <c r="N16" t="n">
        <v>64.08</v>
      </c>
      <c r="O16" t="n">
        <v>62.81</v>
      </c>
      <c r="P16" t="n">
        <v>64.16</v>
      </c>
      <c r="Q16" t="n">
        <v>65.39</v>
      </c>
      <c r="R16" t="n">
        <v>67.05</v>
      </c>
      <c r="S16" t="n">
        <v>73.24</v>
      </c>
      <c r="T16" t="n">
        <v>48.69</v>
      </c>
      <c r="U16" t="n">
        <v>52.13</v>
      </c>
      <c r="V16" t="n">
        <v>49.28</v>
      </c>
      <c r="W16" t="n">
        <v>46.52</v>
      </c>
      <c r="X16" t="n">
        <v>52.12</v>
      </c>
      <c r="Y16" t="n">
        <v>44.29</v>
      </c>
      <c r="Z16" t="n">
        <v>42.94</v>
      </c>
      <c r="AA16" t="n">
        <v>49.44</v>
      </c>
      <c r="AB16" t="n">
        <v>53.53</v>
      </c>
      <c r="AC16" t="n">
        <v>59.65</v>
      </c>
      <c r="AD16" t="n">
        <v>61.42</v>
      </c>
      <c r="AE16" t="n">
        <v>55.32</v>
      </c>
      <c r="AF16" t="n">
        <v>59.32</v>
      </c>
    </row>
    <row r="17">
      <c r="A17" t="s">
        <v>18</v>
      </c>
      <c r="B17" t="s">
        <v>191</v>
      </c>
      <c r="C17" t="s">
        <v>129</v>
      </c>
      <c r="D17" t="s">
        <v>192</v>
      </c>
      <c r="E17" t="s">
        <v>130</v>
      </c>
      <c r="F17" t="n">
        <v>60.08</v>
      </c>
      <c r="G17" t="n">
        <v>55.33</v>
      </c>
      <c r="H17" t="n">
        <v>58.73</v>
      </c>
      <c r="I17" t="n">
        <v>58.73</v>
      </c>
      <c r="J17" t="n">
        <v>58.34</v>
      </c>
      <c r="K17" t="n">
        <v>48.08</v>
      </c>
      <c r="L17" t="n">
        <v>49.45</v>
      </c>
      <c r="M17" t="n">
        <v>47.59</v>
      </c>
      <c r="N17" t="n">
        <v>46.34</v>
      </c>
      <c r="O17" t="n">
        <v>45.64</v>
      </c>
      <c r="P17" t="n">
        <v>44.3</v>
      </c>
      <c r="Q17" t="n">
        <v>45.79</v>
      </c>
      <c r="R17" t="n">
        <v>49.54</v>
      </c>
      <c r="S17" t="n">
        <v>52.51</v>
      </c>
      <c r="T17" t="n">
        <v>51.23</v>
      </c>
      <c r="U17" t="n">
        <v>49.77</v>
      </c>
      <c r="V17" t="n">
        <v>49.92</v>
      </c>
      <c r="W17" t="n">
        <v>45.51</v>
      </c>
      <c r="X17" t="n">
        <v>51.94</v>
      </c>
      <c r="Y17" t="n">
        <v>58.57</v>
      </c>
      <c r="Z17" t="n">
        <v>63.21</v>
      </c>
      <c r="AA17" t="n">
        <v>60.17</v>
      </c>
      <c r="AB17" t="n">
        <v>64.77</v>
      </c>
      <c r="AC17" t="n">
        <v>63.32</v>
      </c>
      <c r="AD17" t="n">
        <v>62.39</v>
      </c>
      <c r="AE17" t="n">
        <v>65.81</v>
      </c>
      <c r="AF17" t="n">
        <v>65</v>
      </c>
    </row>
    <row r="18">
      <c r="A18" t="s">
        <v>18</v>
      </c>
      <c r="B18" t="s">
        <v>193</v>
      </c>
      <c r="C18" t="s">
        <v>129</v>
      </c>
      <c r="D18" t="s">
        <v>194</v>
      </c>
      <c r="E18" t="s">
        <v>130</v>
      </c>
      <c r="F18" t="n">
        <v>39.96</v>
      </c>
      <c r="G18" t="n">
        <v>47.16</v>
      </c>
      <c r="H18" t="n">
        <v>47.9</v>
      </c>
      <c r="I18" t="n">
        <v>58.79</v>
      </c>
      <c r="J18" t="n">
        <v>64.02</v>
      </c>
      <c r="K18" t="n">
        <v>63.99</v>
      </c>
      <c r="L18" t="n">
        <v>68.09</v>
      </c>
      <c r="M18" t="n">
        <v>73.04</v>
      </c>
      <c r="N18" t="n">
        <v>75.94</v>
      </c>
      <c r="O18" t="n">
        <v>75.8</v>
      </c>
      <c r="P18" t="n">
        <v>84.16</v>
      </c>
      <c r="Q18" t="n">
        <v>84.36</v>
      </c>
      <c r="R18" t="n">
        <v>95.69</v>
      </c>
      <c r="S18" t="n">
        <v>90.5</v>
      </c>
      <c r="T18" t="n">
        <v>95.3</v>
      </c>
      <c r="U18" t="n">
        <v>74.34</v>
      </c>
      <c r="V18" t="n">
        <v>75.82</v>
      </c>
      <c r="W18" t="n">
        <v>98.19</v>
      </c>
      <c r="X18" t="n">
        <v>112.13</v>
      </c>
      <c r="Y18" t="n">
        <v>101.67</v>
      </c>
      <c r="Z18" t="n">
        <v>97.88</v>
      </c>
      <c r="AA18" t="n">
        <v>104.99</v>
      </c>
      <c r="AB18" t="n">
        <v>116.69</v>
      </c>
      <c r="AC18" t="n">
        <v>124.49</v>
      </c>
      <c r="AD18" t="n">
        <v>128.14</v>
      </c>
      <c r="AE18" t="n">
        <v>122.74</v>
      </c>
      <c r="AF18" t="n">
        <v>116.96</v>
      </c>
    </row>
    <row r="19">
      <c r="A19" t="s">
        <v>18</v>
      </c>
      <c r="B19" t="s">
        <v>195</v>
      </c>
      <c r="C19" t="s">
        <v>129</v>
      </c>
      <c r="D19" t="s">
        <v>196</v>
      </c>
      <c r="E19" t="s">
        <v>130</v>
      </c>
      <c r="F19" t="n">
        <v>68.72</v>
      </c>
      <c r="G19" t="n">
        <v>63.87</v>
      </c>
      <c r="H19" t="n">
        <v>69.38</v>
      </c>
      <c r="I19" t="n">
        <v>69.62</v>
      </c>
      <c r="J19" t="n">
        <v>73.47</v>
      </c>
      <c r="K19" t="n">
        <v>78.83</v>
      </c>
      <c r="L19" t="n">
        <v>75.51</v>
      </c>
      <c r="M19" t="n">
        <v>71.75</v>
      </c>
      <c r="N19" t="n">
        <v>75.19</v>
      </c>
      <c r="O19" t="n">
        <v>75.94</v>
      </c>
      <c r="P19" t="n">
        <v>71.97</v>
      </c>
      <c r="Q19" t="n">
        <v>71.51</v>
      </c>
      <c r="R19" t="n">
        <v>67.79</v>
      </c>
      <c r="S19" t="n">
        <v>70.36</v>
      </c>
      <c r="T19" t="n">
        <v>67.22</v>
      </c>
      <c r="U19" t="n">
        <v>67.6</v>
      </c>
      <c r="V19" t="n">
        <v>66.24</v>
      </c>
      <c r="W19" t="n">
        <v>66.12</v>
      </c>
      <c r="X19" t="n">
        <v>64.4</v>
      </c>
      <c r="Y19" t="n">
        <v>70.69</v>
      </c>
      <c r="Z19" t="n">
        <v>74.37</v>
      </c>
      <c r="AA19" t="n">
        <v>79.11</v>
      </c>
      <c r="AB19" t="n">
        <v>85.03</v>
      </c>
      <c r="AC19" t="n">
        <v>83.66</v>
      </c>
      <c r="AD19" t="n">
        <v>86.21</v>
      </c>
      <c r="AE19" t="n">
        <v>84.06</v>
      </c>
      <c r="AF19" t="n">
        <v>88.23</v>
      </c>
    </row>
    <row r="20">
      <c r="A20" t="s">
        <v>18</v>
      </c>
      <c r="B20" t="s">
        <v>197</v>
      </c>
      <c r="C20" t="s">
        <v>129</v>
      </c>
      <c r="D20" t="s">
        <v>198</v>
      </c>
      <c r="E20" t="s">
        <v>130</v>
      </c>
      <c r="F20" t="n">
        <v>62.76</v>
      </c>
      <c r="G20" t="n">
        <v>60.49</v>
      </c>
      <c r="H20" t="n">
        <v>65.08</v>
      </c>
      <c r="I20" t="n">
        <v>62.49</v>
      </c>
      <c r="J20" t="n">
        <v>60.75</v>
      </c>
      <c r="K20" t="n">
        <v>54.35</v>
      </c>
      <c r="L20" t="n">
        <v>50.27</v>
      </c>
      <c r="M20" t="n">
        <v>47.03</v>
      </c>
      <c r="N20" t="n">
        <v>42.73</v>
      </c>
      <c r="O20" t="n">
        <v>40.84</v>
      </c>
      <c r="P20" t="n">
        <v>39.68</v>
      </c>
      <c r="Q20" t="n">
        <v>41.03</v>
      </c>
      <c r="R20" t="n">
        <v>37.46</v>
      </c>
      <c r="S20" t="n">
        <v>35.9</v>
      </c>
      <c r="T20" t="n">
        <v>33.64</v>
      </c>
      <c r="U20" t="n">
        <v>32.92</v>
      </c>
      <c r="V20" t="n">
        <v>29.89</v>
      </c>
      <c r="W20" t="n">
        <v>36.92</v>
      </c>
      <c r="X20" t="n">
        <v>32.34</v>
      </c>
      <c r="Y20" t="n">
        <v>31.38</v>
      </c>
      <c r="Z20" t="n">
        <v>29.67</v>
      </c>
      <c r="AA20" t="n">
        <v>28.6</v>
      </c>
      <c r="AB20" t="n">
        <v>30.49</v>
      </c>
      <c r="AC20" t="n">
        <v>30.95</v>
      </c>
      <c r="AD20" t="n">
        <v>31.58</v>
      </c>
      <c r="AE20" t="n">
        <v>31.44</v>
      </c>
      <c r="AF20" t="n">
        <v>33.96</v>
      </c>
    </row>
    <row r="21">
      <c r="A21" t="s">
        <v>18</v>
      </c>
      <c r="B21" t="s">
        <v>199</v>
      </c>
      <c r="C21" t="s">
        <v>129</v>
      </c>
      <c r="D21" t="s">
        <v>200</v>
      </c>
      <c r="E21" t="s">
        <v>130</v>
      </c>
      <c r="F21" t="n">
        <v>122.69</v>
      </c>
      <c r="G21" t="n">
        <v>113.02</v>
      </c>
      <c r="H21" t="n">
        <v>123.48</v>
      </c>
      <c r="I21" t="n">
        <v>122.15</v>
      </c>
      <c r="J21" t="n">
        <v>114.18</v>
      </c>
      <c r="K21" t="n">
        <v>107.49</v>
      </c>
      <c r="L21" t="n">
        <v>106.49</v>
      </c>
      <c r="M21" t="n">
        <v>100.33</v>
      </c>
      <c r="N21" t="n">
        <v>95.02</v>
      </c>
      <c r="O21" t="n">
        <v>91.22</v>
      </c>
      <c r="P21" t="n">
        <v>92.86</v>
      </c>
      <c r="Q21" t="n">
        <v>94.78</v>
      </c>
      <c r="R21" t="n">
        <v>86.25</v>
      </c>
      <c r="S21" t="n">
        <v>86.2</v>
      </c>
      <c r="T21" t="n">
        <v>80.42</v>
      </c>
      <c r="U21" t="n">
        <v>81.43</v>
      </c>
      <c r="V21" t="n">
        <v>76.48</v>
      </c>
      <c r="W21" t="n">
        <v>83.39</v>
      </c>
      <c r="X21" t="n">
        <v>78.83</v>
      </c>
      <c r="Y21" t="n">
        <v>80.03</v>
      </c>
      <c r="Z21" t="n">
        <v>77.24</v>
      </c>
      <c r="AA21" t="n">
        <v>75.22</v>
      </c>
      <c r="AB21" t="n">
        <v>78.91</v>
      </c>
      <c r="AC21" t="n">
        <v>79.42</v>
      </c>
      <c r="AD21" t="n">
        <v>80.36</v>
      </c>
      <c r="AE21" t="n">
        <v>76.65</v>
      </c>
      <c r="AF21" t="n">
        <v>78.51</v>
      </c>
    </row>
    <row r="22">
      <c r="A22" t="s">
        <v>18</v>
      </c>
      <c r="B22" t="s">
        <v>201</v>
      </c>
      <c r="C22" t="s">
        <v>129</v>
      </c>
      <c r="D22" t="s">
        <v>202</v>
      </c>
      <c r="E22" t="s">
        <v>130</v>
      </c>
      <c r="F22" t="n">
        <v>59.93</v>
      </c>
      <c r="G22" t="n">
        <v>52.53</v>
      </c>
      <c r="H22" t="n">
        <v>58.4</v>
      </c>
      <c r="I22" t="n">
        <v>59.66</v>
      </c>
      <c r="J22" t="n">
        <v>53.43</v>
      </c>
      <c r="K22" t="n">
        <v>53.14</v>
      </c>
      <c r="L22" t="n">
        <v>56.22</v>
      </c>
      <c r="M22" t="n">
        <v>53.3</v>
      </c>
      <c r="N22" t="n">
        <v>52.29</v>
      </c>
      <c r="O22" t="n">
        <v>50.38</v>
      </c>
      <c r="P22" t="n">
        <v>53.18</v>
      </c>
      <c r="Q22" t="n">
        <v>53.75</v>
      </c>
      <c r="R22" t="n">
        <v>48.79</v>
      </c>
      <c r="S22" t="n">
        <v>50.3</v>
      </c>
      <c r="T22" t="n">
        <v>46.78</v>
      </c>
      <c r="U22" t="n">
        <v>48.51</v>
      </c>
      <c r="V22" t="n">
        <v>46.59</v>
      </c>
      <c r="W22" t="n">
        <v>46.47</v>
      </c>
      <c r="X22" t="n">
        <v>46.49</v>
      </c>
      <c r="Y22" t="n">
        <v>48.65</v>
      </c>
      <c r="Z22" t="n">
        <v>47.57</v>
      </c>
      <c r="AA22" t="n">
        <v>46.62</v>
      </c>
      <c r="AB22" t="n">
        <v>48.42</v>
      </c>
      <c r="AC22" t="n">
        <v>48.47</v>
      </c>
      <c r="AD22" t="n">
        <v>48.78</v>
      </c>
      <c r="AE22" t="n">
        <v>45.21</v>
      </c>
      <c r="AF22" t="n">
        <v>44.55</v>
      </c>
    </row>
    <row r="23">
      <c r="A23" t="s">
        <v>18</v>
      </c>
      <c r="B23" t="s">
        <v>203</v>
      </c>
      <c r="C23" t="s">
        <v>129</v>
      </c>
      <c r="D23" t="s">
        <v>204</v>
      </c>
      <c r="E23" t="s">
        <v>130</v>
      </c>
      <c r="F23" t="n">
        <v>221.25</v>
      </c>
      <c r="G23" t="n">
        <v>223.27</v>
      </c>
      <c r="H23" t="n">
        <v>227.13</v>
      </c>
      <c r="I23" t="n">
        <v>234.68</v>
      </c>
      <c r="J23" t="n">
        <v>254.44</v>
      </c>
      <c r="K23" t="n">
        <v>254.99</v>
      </c>
      <c r="L23" t="n">
        <v>256.73</v>
      </c>
      <c r="M23" t="n">
        <v>259.64</v>
      </c>
      <c r="N23" t="n">
        <v>296.8</v>
      </c>
      <c r="O23" t="n">
        <v>307.31</v>
      </c>
      <c r="P23" t="n">
        <v>309</v>
      </c>
      <c r="Q23" t="n">
        <v>313.17</v>
      </c>
      <c r="R23" t="n">
        <v>319.43</v>
      </c>
      <c r="S23" t="n">
        <v>315.64</v>
      </c>
      <c r="T23" t="n">
        <v>286.23</v>
      </c>
      <c r="U23" t="n">
        <v>265.42</v>
      </c>
      <c r="V23" t="n">
        <v>260.87</v>
      </c>
      <c r="W23" t="n">
        <v>266.04</v>
      </c>
      <c r="X23" t="n">
        <v>257.84</v>
      </c>
      <c r="Y23" t="n">
        <v>266.37</v>
      </c>
      <c r="Z23" t="n">
        <v>262.85</v>
      </c>
      <c r="AA23" t="n">
        <v>280.55</v>
      </c>
      <c r="AB23" t="n">
        <v>305.58</v>
      </c>
      <c r="AC23" t="n">
        <v>338.35</v>
      </c>
      <c r="AD23" t="n">
        <v>356.36</v>
      </c>
      <c r="AE23" t="n">
        <v>371.6</v>
      </c>
      <c r="AF23" t="n">
        <v>392.66</v>
      </c>
    </row>
    <row r="24">
      <c r="A24" t="s">
        <v>18</v>
      </c>
      <c r="B24" t="s">
        <v>205</v>
      </c>
      <c r="C24" t="s">
        <v>129</v>
      </c>
      <c r="D24" t="s">
        <v>206</v>
      </c>
      <c r="E24" t="s">
        <v>130</v>
      </c>
      <c r="F24" t="n">
        <v>471.36</v>
      </c>
      <c r="G24" t="n">
        <v>501.99</v>
      </c>
      <c r="H24" t="n">
        <v>519.38</v>
      </c>
      <c r="I24" t="n">
        <v>494.81</v>
      </c>
      <c r="J24" t="n">
        <v>528.34</v>
      </c>
      <c r="K24" t="n">
        <v>554.87</v>
      </c>
      <c r="L24" t="n">
        <v>562.69</v>
      </c>
      <c r="M24" t="n">
        <v>563.99</v>
      </c>
      <c r="N24" t="n">
        <v>563.53</v>
      </c>
      <c r="O24" t="n">
        <v>572.56</v>
      </c>
      <c r="P24" t="n">
        <v>592.25</v>
      </c>
      <c r="Q24" t="n">
        <v>597.98</v>
      </c>
      <c r="R24" t="n">
        <v>619.81</v>
      </c>
      <c r="S24" t="n">
        <v>613.6</v>
      </c>
      <c r="T24" t="n">
        <v>592.96</v>
      </c>
      <c r="U24" t="n">
        <v>591.06</v>
      </c>
      <c r="V24" t="n">
        <v>578.01</v>
      </c>
      <c r="W24" t="n">
        <v>571.78</v>
      </c>
      <c r="X24" t="n">
        <v>589.94</v>
      </c>
      <c r="Y24" t="n">
        <v>619.37</v>
      </c>
      <c r="Z24" t="n">
        <v>631.69</v>
      </c>
      <c r="AA24" t="n">
        <v>629.29</v>
      </c>
      <c r="AB24" t="n">
        <v>643.58</v>
      </c>
      <c r="AC24" t="n">
        <v>651.01</v>
      </c>
      <c r="AD24" t="n">
        <v>654.48</v>
      </c>
      <c r="AE24" t="n">
        <v>657.62</v>
      </c>
      <c r="AF24" t="n">
        <v>650.14</v>
      </c>
    </row>
    <row r="25">
      <c r="A25" t="s">
        <v>18</v>
      </c>
      <c r="B25" t="s">
        <v>207</v>
      </c>
      <c r="C25" t="s">
        <v>129</v>
      </c>
      <c r="D25" t="s">
        <v>208</v>
      </c>
      <c r="E25" t="s">
        <v>130</v>
      </c>
      <c r="F25" t="n">
        <v>44.22</v>
      </c>
      <c r="G25" t="n">
        <v>57.59</v>
      </c>
      <c r="H25" t="n">
        <v>61.44</v>
      </c>
      <c r="I25" t="n">
        <v>62.97</v>
      </c>
      <c r="J25" t="n">
        <v>70.56</v>
      </c>
      <c r="K25" t="n">
        <v>89.73</v>
      </c>
      <c r="L25" t="n">
        <v>99.99</v>
      </c>
      <c r="M25" t="n">
        <v>97.99</v>
      </c>
      <c r="N25" t="n">
        <v>96.12</v>
      </c>
      <c r="O25" t="n">
        <v>102.55</v>
      </c>
      <c r="P25" t="n">
        <v>92.96</v>
      </c>
      <c r="Q25" t="n">
        <v>89.4</v>
      </c>
      <c r="R25" t="n">
        <v>88.57</v>
      </c>
      <c r="S25" t="n">
        <v>76.5</v>
      </c>
      <c r="T25" t="n">
        <v>77.33</v>
      </c>
      <c r="U25" t="n">
        <v>77.41</v>
      </c>
      <c r="V25" t="n">
        <v>78.48</v>
      </c>
      <c r="W25" t="n">
        <v>76.65</v>
      </c>
      <c r="X25" t="n">
        <v>78.42</v>
      </c>
      <c r="Y25" t="n">
        <v>79.77</v>
      </c>
      <c r="Z25" t="n">
        <v>84.44</v>
      </c>
      <c r="AA25" t="n">
        <v>89.51</v>
      </c>
      <c r="AB25" t="n">
        <v>93.55</v>
      </c>
      <c r="AC25" t="n">
        <v>95.98</v>
      </c>
      <c r="AD25" t="n">
        <v>97.36</v>
      </c>
      <c r="AE25" t="n">
        <v>112.57</v>
      </c>
      <c r="AF25" t="n">
        <v>107.04</v>
      </c>
    </row>
    <row r="26">
      <c r="A26" t="s">
        <v>18</v>
      </c>
      <c r="B26" t="s">
        <v>209</v>
      </c>
      <c r="C26" t="s">
        <v>129</v>
      </c>
      <c r="D26" t="s">
        <v>210</v>
      </c>
      <c r="E26" t="s">
        <v>130</v>
      </c>
      <c r="F26" t="n">
        <v>67.95</v>
      </c>
      <c r="G26" t="n">
        <v>63.99</v>
      </c>
      <c r="H26" t="n">
        <v>60.71</v>
      </c>
      <c r="I26" t="n">
        <v>72.41</v>
      </c>
      <c r="J26" t="n">
        <v>75.6</v>
      </c>
      <c r="K26" t="n">
        <v>90.54</v>
      </c>
      <c r="L26" t="n">
        <v>91.69</v>
      </c>
      <c r="M26" t="n">
        <v>95.35</v>
      </c>
      <c r="N26" t="n">
        <v>104.19</v>
      </c>
      <c r="O26" t="n">
        <v>95.31</v>
      </c>
      <c r="P26" t="n">
        <v>110.94</v>
      </c>
      <c r="Q26" t="n">
        <v>115.34</v>
      </c>
      <c r="R26" t="n">
        <v>133</v>
      </c>
      <c r="S26" t="n">
        <v>145.31</v>
      </c>
      <c r="T26" t="n">
        <v>160.6</v>
      </c>
      <c r="U26" t="n">
        <v>159.25</v>
      </c>
      <c r="V26" t="n">
        <v>145.69</v>
      </c>
      <c r="W26" t="n">
        <v>141.99</v>
      </c>
      <c r="X26" t="n">
        <v>154.84</v>
      </c>
      <c r="Y26" t="n">
        <v>170.77</v>
      </c>
      <c r="Z26" t="n">
        <v>178.13</v>
      </c>
      <c r="AA26" t="n">
        <v>175.05</v>
      </c>
      <c r="AB26" t="n">
        <v>181.06</v>
      </c>
      <c r="AC26" t="n">
        <v>189.64</v>
      </c>
      <c r="AD26" t="n">
        <v>191.68</v>
      </c>
      <c r="AE26" t="n">
        <v>187.83</v>
      </c>
      <c r="AF26" t="n">
        <v>187.54</v>
      </c>
    </row>
    <row r="27">
      <c r="A27" t="s">
        <v>18</v>
      </c>
      <c r="B27" t="s">
        <v>211</v>
      </c>
      <c r="C27" t="s">
        <v>129</v>
      </c>
      <c r="D27" t="s">
        <v>212</v>
      </c>
      <c r="E27" t="s">
        <v>130</v>
      </c>
      <c r="F27" t="n">
        <v>359.19</v>
      </c>
      <c r="G27" t="n">
        <v>380.41</v>
      </c>
      <c r="H27" t="n">
        <v>397.23</v>
      </c>
      <c r="I27" t="n">
        <v>359.43</v>
      </c>
      <c r="J27" t="n">
        <v>382.18</v>
      </c>
      <c r="K27" t="n">
        <v>374.6</v>
      </c>
      <c r="L27" t="n">
        <v>371.01</v>
      </c>
      <c r="M27" t="n">
        <v>370.65</v>
      </c>
      <c r="N27" t="n">
        <v>363.22</v>
      </c>
      <c r="O27" t="n">
        <v>374.7</v>
      </c>
      <c r="P27" t="n">
        <v>388.35</v>
      </c>
      <c r="Q27" t="n">
        <v>393.24</v>
      </c>
      <c r="R27" t="n">
        <v>398.24</v>
      </c>
      <c r="S27" t="n">
        <v>391.79</v>
      </c>
      <c r="T27" t="n">
        <v>355.03</v>
      </c>
      <c r="U27" t="n">
        <v>354.4</v>
      </c>
      <c r="V27" t="n">
        <v>353.84</v>
      </c>
      <c r="W27" t="n">
        <v>353.14</v>
      </c>
      <c r="X27" t="n">
        <v>356.68</v>
      </c>
      <c r="Y27" t="n">
        <v>368.83</v>
      </c>
      <c r="Z27" t="n">
        <v>369.12</v>
      </c>
      <c r="AA27" t="n">
        <v>364.73</v>
      </c>
      <c r="AB27" t="n">
        <v>368.97</v>
      </c>
      <c r="AC27" t="n">
        <v>365.39</v>
      </c>
      <c r="AD27" t="n">
        <v>365.44</v>
      </c>
      <c r="AE27" t="n">
        <v>357.22</v>
      </c>
      <c r="AF27" t="n">
        <v>355.56</v>
      </c>
    </row>
    <row r="28">
      <c r="A28" t="s">
        <v>18</v>
      </c>
      <c r="B28" t="s">
        <v>213</v>
      </c>
      <c r="C28" t="s">
        <v>129</v>
      </c>
      <c r="D28" t="s">
        <v>214</v>
      </c>
      <c r="E28" t="s">
        <v>130</v>
      </c>
      <c r="F28" t="n">
        <v>302.56</v>
      </c>
      <c r="G28" t="n">
        <v>304.74</v>
      </c>
      <c r="H28" t="n">
        <v>295.73</v>
      </c>
      <c r="I28" t="n">
        <v>288.4</v>
      </c>
      <c r="J28" t="n">
        <v>291.05</v>
      </c>
      <c r="K28" t="n">
        <v>291.71</v>
      </c>
      <c r="L28" t="n">
        <v>291.75</v>
      </c>
      <c r="M28" t="n">
        <v>291.51</v>
      </c>
      <c r="N28" t="n">
        <v>284.89</v>
      </c>
      <c r="O28" t="n">
        <v>285.03</v>
      </c>
      <c r="P28" t="n">
        <v>269.34</v>
      </c>
      <c r="Q28" t="n">
        <v>279.41</v>
      </c>
      <c r="R28" t="n">
        <v>270.51</v>
      </c>
      <c r="S28" t="n">
        <v>245.32</v>
      </c>
      <c r="T28" t="n">
        <v>255.4</v>
      </c>
      <c r="U28" t="n">
        <v>239.15</v>
      </c>
      <c r="V28" t="n">
        <v>245.89</v>
      </c>
      <c r="W28" t="n">
        <v>260.4</v>
      </c>
      <c r="X28" t="n">
        <v>253.2</v>
      </c>
      <c r="Y28" t="n">
        <v>254.7</v>
      </c>
      <c r="Z28" t="n">
        <v>255.35</v>
      </c>
      <c r="AA28" t="n">
        <v>265.75</v>
      </c>
      <c r="AB28" t="n">
        <v>274.08</v>
      </c>
      <c r="AC28" t="n">
        <v>274.88</v>
      </c>
      <c r="AD28" t="n">
        <v>278.46</v>
      </c>
      <c r="AE28" t="n">
        <v>253.92</v>
      </c>
      <c r="AF28" t="n">
        <v>260.39</v>
      </c>
    </row>
    <row r="29">
      <c r="A29" t="s">
        <v>18</v>
      </c>
      <c r="B29" t="s">
        <v>215</v>
      </c>
      <c r="C29" t="s">
        <v>129</v>
      </c>
      <c r="D29" t="s">
        <v>216</v>
      </c>
      <c r="E29" t="s">
        <v>130</v>
      </c>
      <c r="F29" t="n">
        <v>205.71</v>
      </c>
      <c r="G29" t="n">
        <v>205.1</v>
      </c>
      <c r="H29" t="n">
        <v>197.58</v>
      </c>
      <c r="I29" t="n">
        <v>191.77</v>
      </c>
      <c r="J29" t="n">
        <v>193.39</v>
      </c>
      <c r="K29" t="n">
        <v>186.19</v>
      </c>
      <c r="L29" t="n">
        <v>188.75</v>
      </c>
      <c r="M29" t="n">
        <v>188.98</v>
      </c>
      <c r="N29" t="n">
        <v>188.77</v>
      </c>
      <c r="O29" t="n">
        <v>187.47</v>
      </c>
      <c r="P29" t="n">
        <v>169.8</v>
      </c>
      <c r="Q29" t="n">
        <v>170.77</v>
      </c>
      <c r="R29" t="n">
        <v>172.01</v>
      </c>
      <c r="S29" t="n">
        <v>149.91</v>
      </c>
      <c r="T29" t="n">
        <v>143.9</v>
      </c>
      <c r="U29" t="n">
        <v>141.32</v>
      </c>
      <c r="V29" t="n">
        <v>143.64</v>
      </c>
      <c r="W29" t="n">
        <v>139.91</v>
      </c>
      <c r="X29" t="n">
        <v>143.07</v>
      </c>
      <c r="Y29" t="n">
        <v>145.29</v>
      </c>
      <c r="Z29" t="n">
        <v>149.85</v>
      </c>
      <c r="AA29" t="n">
        <v>156.25</v>
      </c>
      <c r="AB29" t="n">
        <v>160.62</v>
      </c>
      <c r="AC29" t="n">
        <v>161.47</v>
      </c>
      <c r="AD29" t="n">
        <v>164.44</v>
      </c>
      <c r="AE29" t="n">
        <v>152</v>
      </c>
      <c r="AF29" t="n">
        <v>152.04</v>
      </c>
    </row>
    <row r="30">
      <c r="A30" t="s">
        <v>18</v>
      </c>
      <c r="B30" t="s">
        <v>217</v>
      </c>
      <c r="C30" t="s">
        <v>129</v>
      </c>
      <c r="D30" t="s">
        <v>218</v>
      </c>
      <c r="E30" t="s">
        <v>130</v>
      </c>
      <c r="F30" t="n">
        <v>6.02</v>
      </c>
      <c r="G30" t="n">
        <v>4.37</v>
      </c>
      <c r="H30" t="n">
        <v>2.58</v>
      </c>
      <c r="I30" t="n">
        <v>4.16</v>
      </c>
      <c r="J30" t="n">
        <v>3.26</v>
      </c>
      <c r="K30" t="n">
        <v>3.18</v>
      </c>
      <c r="L30" t="n">
        <v>2.1</v>
      </c>
      <c r="M30" t="n">
        <v>2.17</v>
      </c>
      <c r="N30" t="n">
        <v>2.91</v>
      </c>
      <c r="O30" t="n">
        <v>1.02</v>
      </c>
      <c r="P30" t="n">
        <v>1.92</v>
      </c>
      <c r="Q30" t="n">
        <v>1.9</v>
      </c>
      <c r="R30" t="n">
        <v>3.01</v>
      </c>
      <c r="S30" t="n">
        <v>0.68</v>
      </c>
      <c r="T30" t="n">
        <v>2.03</v>
      </c>
      <c r="U30" t="n">
        <v>1.06</v>
      </c>
      <c r="V30" t="n">
        <v>1.77</v>
      </c>
      <c r="W30" t="n">
        <v>2.01</v>
      </c>
      <c r="X30" t="n">
        <v>2.51</v>
      </c>
      <c r="Y30" t="n">
        <v>2.1</v>
      </c>
      <c r="Z30" t="n">
        <v>2.05</v>
      </c>
      <c r="AA30" t="n">
        <v>2.82</v>
      </c>
      <c r="AB30" t="n">
        <v>2.32</v>
      </c>
      <c r="AC30" t="n">
        <v>2.31</v>
      </c>
      <c r="AD30" t="n">
        <v>2.26</v>
      </c>
      <c r="AE30" t="n">
        <v>2.43</v>
      </c>
      <c r="AF30" t="n">
        <v>1.61</v>
      </c>
    </row>
    <row r="31">
      <c r="A31" t="s">
        <v>18</v>
      </c>
      <c r="B31" t="s">
        <v>219</v>
      </c>
      <c r="C31" t="s">
        <v>129</v>
      </c>
      <c r="D31" t="s">
        <v>220</v>
      </c>
      <c r="E31" t="s">
        <v>130</v>
      </c>
      <c r="F31" t="n">
        <v>7.08</v>
      </c>
      <c r="G31" t="n">
        <v>7.82</v>
      </c>
      <c r="H31" t="n">
        <v>4.44</v>
      </c>
      <c r="I31" t="n">
        <v>7.09</v>
      </c>
      <c r="J31" t="n">
        <v>7.21</v>
      </c>
      <c r="K31" t="n">
        <v>7.93</v>
      </c>
      <c r="L31" t="n">
        <v>7.6</v>
      </c>
      <c r="M31" t="n">
        <v>9.65</v>
      </c>
      <c r="N31" t="n">
        <v>6.95</v>
      </c>
      <c r="O31" t="n">
        <v>8.85</v>
      </c>
      <c r="P31" t="n">
        <v>11.17</v>
      </c>
      <c r="Q31" t="n">
        <v>8.21</v>
      </c>
      <c r="R31" t="n">
        <v>7.11</v>
      </c>
      <c r="S31" t="n">
        <v>4.72</v>
      </c>
      <c r="T31" t="n">
        <v>3.14</v>
      </c>
      <c r="U31" t="n">
        <v>6.92</v>
      </c>
      <c r="V31" t="n">
        <v>7.77</v>
      </c>
      <c r="W31" t="n">
        <v>3.35</v>
      </c>
      <c r="X31" t="n">
        <v>1.79</v>
      </c>
      <c r="Y31" t="n">
        <v>1.16</v>
      </c>
      <c r="Z31" t="n">
        <v>1.15</v>
      </c>
      <c r="AA31" t="n">
        <v>2.49</v>
      </c>
      <c r="AB31" t="n">
        <v>1.16</v>
      </c>
      <c r="AC31" t="n">
        <v>2.13</v>
      </c>
      <c r="AD31" t="n">
        <v>2.16</v>
      </c>
      <c r="AE31" t="n">
        <v>1.53</v>
      </c>
      <c r="AF31" t="n">
        <v>1.26</v>
      </c>
    </row>
    <row r="32">
      <c r="A32" t="s">
        <v>18</v>
      </c>
      <c r="B32" t="s">
        <v>221</v>
      </c>
      <c r="C32" t="s">
        <v>129</v>
      </c>
      <c r="D32" t="s">
        <v>222</v>
      </c>
      <c r="E32" t="s">
        <v>130</v>
      </c>
      <c r="F32" t="n">
        <v>30.61</v>
      </c>
      <c r="G32" t="n">
        <v>34.5</v>
      </c>
      <c r="H32" t="n">
        <v>36</v>
      </c>
      <c r="I32" t="n">
        <v>32.81</v>
      </c>
      <c r="J32" t="n">
        <v>35.25</v>
      </c>
      <c r="K32" t="n">
        <v>36.94</v>
      </c>
      <c r="L32" t="n">
        <v>36.53</v>
      </c>
      <c r="M32" t="n">
        <v>40.28</v>
      </c>
      <c r="N32" t="n">
        <v>39.03</v>
      </c>
      <c r="O32" t="n">
        <v>44.18</v>
      </c>
      <c r="P32" t="n">
        <v>41.47</v>
      </c>
      <c r="Q32" t="n">
        <v>48.74</v>
      </c>
      <c r="R32" t="n">
        <v>40.51</v>
      </c>
      <c r="S32" t="n">
        <v>42.99</v>
      </c>
      <c r="T32" t="n">
        <v>56.44</v>
      </c>
      <c r="U32" t="n">
        <v>48.5</v>
      </c>
      <c r="V32" t="n">
        <v>54.39</v>
      </c>
      <c r="W32" t="n">
        <v>65.53</v>
      </c>
      <c r="X32" t="n">
        <v>60.16</v>
      </c>
      <c r="Y32" t="n">
        <v>61.51</v>
      </c>
      <c r="Z32" t="n">
        <v>59.46</v>
      </c>
      <c r="AA32" t="n">
        <v>60.28</v>
      </c>
      <c r="AB32" t="n">
        <v>63.09</v>
      </c>
      <c r="AC32" t="n">
        <v>63.99</v>
      </c>
      <c r="AD32" t="n">
        <v>64.66</v>
      </c>
      <c r="AE32" t="n">
        <v>57.52</v>
      </c>
      <c r="AF32" t="n">
        <v>61.8</v>
      </c>
    </row>
    <row r="33">
      <c r="A33" t="s">
        <v>18</v>
      </c>
      <c r="B33" t="s">
        <v>223</v>
      </c>
      <c r="C33" t="s">
        <v>129</v>
      </c>
      <c r="D33" t="s">
        <v>224</v>
      </c>
      <c r="E33" t="s">
        <v>130</v>
      </c>
      <c r="F33" t="n">
        <v>53.14</v>
      </c>
      <c r="G33" t="n">
        <v>52.95</v>
      </c>
      <c r="H33" t="n">
        <v>55.13</v>
      </c>
      <c r="I33" t="n">
        <v>52.57</v>
      </c>
      <c r="J33" t="n">
        <v>51.94</v>
      </c>
      <c r="K33" t="n">
        <v>57.47</v>
      </c>
      <c r="L33" t="n">
        <v>56.77</v>
      </c>
      <c r="M33" t="n">
        <v>50.43</v>
      </c>
      <c r="N33" t="n">
        <v>47.23</v>
      </c>
      <c r="O33" t="n">
        <v>43.51</v>
      </c>
      <c r="P33" t="n">
        <v>44.98</v>
      </c>
      <c r="Q33" t="n">
        <v>49.79</v>
      </c>
      <c r="R33" t="n">
        <v>47.87</v>
      </c>
      <c r="S33" t="n">
        <v>47.02</v>
      </c>
      <c r="T33" t="n">
        <v>49.89</v>
      </c>
      <c r="U33" t="n">
        <v>41.35</v>
      </c>
      <c r="V33" t="n">
        <v>38.32</v>
      </c>
      <c r="W33" t="n">
        <v>49.6</v>
      </c>
      <c r="X33" t="n">
        <v>45.67</v>
      </c>
      <c r="Y33" t="n">
        <v>44.64</v>
      </c>
      <c r="Z33" t="n">
        <v>42.84</v>
      </c>
      <c r="AA33" t="n">
        <v>43.91</v>
      </c>
      <c r="AB33" t="n">
        <v>46.89</v>
      </c>
      <c r="AC33" t="n">
        <v>44.98</v>
      </c>
      <c r="AD33" t="n">
        <v>44.94</v>
      </c>
      <c r="AE33" t="n">
        <v>40.44</v>
      </c>
      <c r="AF33" t="n">
        <v>43.68</v>
      </c>
    </row>
    <row r="34">
      <c r="A34" t="s">
        <v>18</v>
      </c>
      <c r="B34" t="s">
        <v>225</v>
      </c>
      <c r="C34" t="s">
        <v>129</v>
      </c>
      <c r="D34" t="s">
        <v>226</v>
      </c>
      <c r="E34" t="s">
        <v>130</v>
      </c>
      <c r="F34" t="n">
        <v>120.36</v>
      </c>
      <c r="G34" t="n">
        <v>118.68</v>
      </c>
      <c r="H34" t="n">
        <v>127.01</v>
      </c>
      <c r="I34" t="n">
        <v>128.27</v>
      </c>
      <c r="J34" t="n">
        <v>136.65</v>
      </c>
      <c r="K34" t="n">
        <v>137.34</v>
      </c>
      <c r="L34" t="n">
        <v>143.18</v>
      </c>
      <c r="M34" t="n">
        <v>138.45</v>
      </c>
      <c r="N34" t="n">
        <v>139.59</v>
      </c>
      <c r="O34" t="n">
        <v>149.71</v>
      </c>
      <c r="P34" t="n">
        <v>154.71</v>
      </c>
      <c r="Q34" t="n">
        <v>154.13</v>
      </c>
      <c r="R34" t="n">
        <v>155.43</v>
      </c>
      <c r="S34" t="n">
        <v>157.3</v>
      </c>
      <c r="T34" t="n">
        <v>156.69</v>
      </c>
      <c r="U34" t="n">
        <v>152.44</v>
      </c>
      <c r="V34" t="n">
        <v>166.53</v>
      </c>
      <c r="W34" t="n">
        <v>168.58</v>
      </c>
      <c r="X34" t="n">
        <v>165.32</v>
      </c>
      <c r="Y34" t="n">
        <v>153.92</v>
      </c>
      <c r="Z34" t="n">
        <v>163.12</v>
      </c>
      <c r="AA34" t="n">
        <v>193.56</v>
      </c>
      <c r="AB34" t="n">
        <v>177.6</v>
      </c>
      <c r="AC34" t="n">
        <v>179.17</v>
      </c>
      <c r="AD34" t="n">
        <v>182.44</v>
      </c>
      <c r="AE34" t="n">
        <v>169.2</v>
      </c>
      <c r="AF34" t="n">
        <v>168.56</v>
      </c>
    </row>
    <row r="35">
      <c r="A35" t="s">
        <v>18</v>
      </c>
      <c r="B35" t="s">
        <v>227</v>
      </c>
      <c r="C35" t="s">
        <v>129</v>
      </c>
      <c r="D35" t="s">
        <v>228</v>
      </c>
      <c r="E35" t="s">
        <v>130</v>
      </c>
      <c r="F35" t="n">
        <v>69.18</v>
      </c>
      <c r="G35" t="n">
        <v>67.62</v>
      </c>
      <c r="H35" t="n">
        <v>64.36</v>
      </c>
      <c r="I35" t="n">
        <v>70.68</v>
      </c>
      <c r="J35" t="n">
        <v>71.83</v>
      </c>
      <c r="K35" t="n">
        <v>80.38</v>
      </c>
      <c r="L35" t="n">
        <v>89.04</v>
      </c>
      <c r="M35" t="n">
        <v>88.46</v>
      </c>
      <c r="N35" t="n">
        <v>93.28</v>
      </c>
      <c r="O35" t="n">
        <v>85.64</v>
      </c>
      <c r="P35" t="n">
        <v>89.93</v>
      </c>
      <c r="Q35" t="n">
        <v>101.13</v>
      </c>
      <c r="R35" t="n">
        <v>101.31</v>
      </c>
      <c r="S35" t="n">
        <v>103.72</v>
      </c>
      <c r="T35" t="n">
        <v>105.35</v>
      </c>
      <c r="U35" t="n">
        <v>101.92</v>
      </c>
      <c r="V35" t="n">
        <v>107.57</v>
      </c>
      <c r="W35" t="n">
        <v>105.21</v>
      </c>
      <c r="X35" t="n">
        <v>113.76</v>
      </c>
      <c r="Y35" t="n">
        <v>122.31</v>
      </c>
      <c r="Z35" t="n">
        <v>127.45</v>
      </c>
      <c r="AA35" t="n">
        <v>133.81</v>
      </c>
      <c r="AB35" t="n">
        <v>139.15</v>
      </c>
      <c r="AC35" t="n">
        <v>146.04</v>
      </c>
      <c r="AD35" t="n">
        <v>155.53</v>
      </c>
      <c r="AE35" t="n">
        <v>162.63</v>
      </c>
      <c r="AF35" t="n">
        <v>178.79</v>
      </c>
    </row>
    <row r="36">
      <c r="A36" t="s">
        <v>18</v>
      </c>
      <c r="B36" t="s">
        <v>229</v>
      </c>
      <c r="C36" t="s">
        <v>129</v>
      </c>
      <c r="D36" t="s">
        <v>230</v>
      </c>
      <c r="E36" t="s">
        <v>130</v>
      </c>
      <c r="F36" t="n">
        <v>28.86</v>
      </c>
      <c r="G36" t="n">
        <v>27.34</v>
      </c>
      <c r="H36" t="n">
        <v>24.22</v>
      </c>
      <c r="I36" t="n">
        <v>27.3</v>
      </c>
      <c r="J36" t="n">
        <v>27.66</v>
      </c>
      <c r="K36" t="n">
        <v>27.98</v>
      </c>
      <c r="L36" t="n">
        <v>31.06</v>
      </c>
      <c r="M36" t="n">
        <v>30.91</v>
      </c>
      <c r="N36" t="n">
        <v>32.86</v>
      </c>
      <c r="O36" t="n">
        <v>30.94</v>
      </c>
      <c r="P36" t="n">
        <v>31.01</v>
      </c>
      <c r="Q36" t="n">
        <v>32.48</v>
      </c>
      <c r="R36" t="n">
        <v>34.39</v>
      </c>
      <c r="S36" t="n">
        <v>36.06</v>
      </c>
      <c r="T36" t="n">
        <v>31.65</v>
      </c>
      <c r="U36" t="n">
        <v>35.47</v>
      </c>
      <c r="V36" t="n">
        <v>30.22</v>
      </c>
      <c r="W36" t="n">
        <v>31.58</v>
      </c>
      <c r="X36" t="n">
        <v>34.25</v>
      </c>
      <c r="Y36" t="n">
        <v>32.51</v>
      </c>
      <c r="Z36" t="n">
        <v>30.9</v>
      </c>
      <c r="AA36" t="n">
        <v>32.62</v>
      </c>
      <c r="AB36" t="n">
        <v>32.21</v>
      </c>
      <c r="AC36" t="n">
        <v>34.53</v>
      </c>
      <c r="AD36" t="n">
        <v>35.99</v>
      </c>
      <c r="AE36" t="n">
        <v>32.44</v>
      </c>
      <c r="AF36" t="n">
        <v>33.41</v>
      </c>
    </row>
    <row r="37">
      <c r="A37" t="s">
        <v>18</v>
      </c>
      <c r="B37" t="s">
        <v>231</v>
      </c>
      <c r="C37" t="s">
        <v>129</v>
      </c>
      <c r="D37" t="s">
        <v>232</v>
      </c>
      <c r="E37" t="s">
        <v>130</v>
      </c>
      <c r="F37" t="n">
        <v>25.83</v>
      </c>
      <c r="G37" t="n">
        <v>25.77</v>
      </c>
      <c r="H37" t="n">
        <v>26.86</v>
      </c>
      <c r="I37" t="n">
        <v>25.67</v>
      </c>
      <c r="J37" t="n">
        <v>25.32</v>
      </c>
      <c r="K37" t="n">
        <v>28.04</v>
      </c>
      <c r="L37" t="n">
        <v>27.76</v>
      </c>
      <c r="M37" t="n">
        <v>25.02</v>
      </c>
      <c r="N37" t="n">
        <v>23.29</v>
      </c>
      <c r="O37" t="n">
        <v>21.19</v>
      </c>
      <c r="P37" t="n">
        <v>21.89</v>
      </c>
      <c r="Q37" t="n">
        <v>24.31</v>
      </c>
      <c r="R37" t="n">
        <v>23.12</v>
      </c>
      <c r="S37" t="n">
        <v>22.27</v>
      </c>
      <c r="T37" t="n">
        <v>22.64</v>
      </c>
      <c r="U37" t="n">
        <v>18.72</v>
      </c>
      <c r="V37" t="n">
        <v>20.31</v>
      </c>
      <c r="W37" t="n">
        <v>23.49</v>
      </c>
      <c r="X37" t="n">
        <v>22.56</v>
      </c>
      <c r="Y37" t="n">
        <v>23.18</v>
      </c>
      <c r="Z37" t="n">
        <v>22.89</v>
      </c>
      <c r="AA37" t="n">
        <v>20.45</v>
      </c>
      <c r="AB37" t="n">
        <v>21.93</v>
      </c>
      <c r="AC37" t="n">
        <v>21.4</v>
      </c>
      <c r="AD37" t="n">
        <v>21.23</v>
      </c>
      <c r="AE37" t="n">
        <v>17.06</v>
      </c>
      <c r="AF37" t="n">
        <v>20.75</v>
      </c>
    </row>
    <row r="38">
      <c r="A38" t="s">
        <v>18</v>
      </c>
      <c r="B38" t="s">
        <v>233</v>
      </c>
      <c r="C38" t="s">
        <v>129</v>
      </c>
      <c r="D38" t="s">
        <v>234</v>
      </c>
      <c r="E38" t="s">
        <v>130</v>
      </c>
      <c r="F38" t="n">
        <v>14.49</v>
      </c>
      <c r="G38" t="n">
        <v>14.51</v>
      </c>
      <c r="H38" t="n">
        <v>13.28</v>
      </c>
      <c r="I38" t="n">
        <v>17.71</v>
      </c>
      <c r="J38" t="n">
        <v>18.85</v>
      </c>
      <c r="K38" t="n">
        <v>24.36</v>
      </c>
      <c r="L38" t="n">
        <v>30.22</v>
      </c>
      <c r="M38" t="n">
        <v>32.53</v>
      </c>
      <c r="N38" t="n">
        <v>37.13</v>
      </c>
      <c r="O38" t="n">
        <v>33.51</v>
      </c>
      <c r="P38" t="n">
        <v>37.03</v>
      </c>
      <c r="Q38" t="n">
        <v>44.34</v>
      </c>
      <c r="R38" t="n">
        <v>43.8</v>
      </c>
      <c r="S38" t="n">
        <v>45.39</v>
      </c>
      <c r="T38" t="n">
        <v>51.06</v>
      </c>
      <c r="U38" t="n">
        <v>47.73</v>
      </c>
      <c r="V38" t="n">
        <v>57.04</v>
      </c>
      <c r="W38" t="n">
        <v>50.14</v>
      </c>
      <c r="X38" t="n">
        <v>56.95</v>
      </c>
      <c r="Y38" t="n">
        <v>66.62</v>
      </c>
      <c r="Z38" t="n">
        <v>73.66</v>
      </c>
      <c r="AA38" t="n">
        <v>80.74</v>
      </c>
      <c r="AB38" t="n">
        <v>85.01</v>
      </c>
      <c r="AC38" t="n">
        <v>90.11</v>
      </c>
      <c r="AD38" t="n">
        <v>98.31</v>
      </c>
      <c r="AE38" t="n">
        <v>113.13</v>
      </c>
      <c r="AF38" t="n">
        <v>124.63</v>
      </c>
    </row>
    <row r="39">
      <c r="A39" t="s">
        <v>18</v>
      </c>
      <c r="B39" t="s">
        <v>235</v>
      </c>
      <c r="C39" t="s">
        <v>129</v>
      </c>
      <c r="D39" t="s">
        <v>236</v>
      </c>
      <c r="E39" t="s">
        <v>130</v>
      </c>
      <c r="F39" t="n">
        <v>87.46</v>
      </c>
      <c r="G39" t="n">
        <v>89.92</v>
      </c>
      <c r="H39" t="n">
        <v>89.38</v>
      </c>
      <c r="I39" t="n">
        <v>87.03</v>
      </c>
      <c r="J39" t="n">
        <v>85.66</v>
      </c>
      <c r="K39" t="n">
        <v>89.12</v>
      </c>
      <c r="L39" t="n">
        <v>84.05</v>
      </c>
      <c r="M39" t="n">
        <v>81.22</v>
      </c>
      <c r="N39" t="n">
        <v>79.56</v>
      </c>
      <c r="O39" t="n">
        <v>86.34</v>
      </c>
      <c r="P39" t="n">
        <v>87.68</v>
      </c>
      <c r="Q39" t="n">
        <v>91.22</v>
      </c>
      <c r="R39" t="n">
        <v>93.1</v>
      </c>
      <c r="S39" t="n">
        <v>100.58</v>
      </c>
      <c r="T39" t="n">
        <v>97.79</v>
      </c>
      <c r="U39" t="n">
        <v>94.63</v>
      </c>
      <c r="V39" t="n">
        <v>94.86</v>
      </c>
      <c r="W39" t="n">
        <v>100.21</v>
      </c>
      <c r="X39" t="n">
        <v>93.33</v>
      </c>
      <c r="Y39" t="n">
        <v>92.42</v>
      </c>
      <c r="Z39" t="n">
        <v>89.54</v>
      </c>
      <c r="AA39" t="n">
        <v>87.71</v>
      </c>
      <c r="AB39" t="n">
        <v>89</v>
      </c>
      <c r="AC39" t="n">
        <v>85.96</v>
      </c>
      <c r="AD39" t="n">
        <v>88.69</v>
      </c>
      <c r="AE39" t="n">
        <v>88.78</v>
      </c>
      <c r="AF39" t="n">
        <v>87.5</v>
      </c>
    </row>
    <row r="40">
      <c r="A40" t="s">
        <v>18</v>
      </c>
      <c r="B40" t="s">
        <v>237</v>
      </c>
      <c r="C40" t="s">
        <v>129</v>
      </c>
      <c r="D40" t="s">
        <v>238</v>
      </c>
      <c r="E40" t="s">
        <v>130</v>
      </c>
      <c r="F40" t="n">
        <v>59.54</v>
      </c>
      <c r="G40" t="n">
        <v>62.28</v>
      </c>
      <c r="H40" t="n">
        <v>62.4</v>
      </c>
      <c r="I40" t="n">
        <v>60.81</v>
      </c>
      <c r="J40" t="n">
        <v>62.44</v>
      </c>
      <c r="K40" t="n">
        <v>61.93</v>
      </c>
      <c r="L40" t="n">
        <v>61.3</v>
      </c>
      <c r="M40" t="n">
        <v>64.07</v>
      </c>
      <c r="N40" t="n">
        <v>65.37</v>
      </c>
      <c r="O40" t="n">
        <v>65.33</v>
      </c>
      <c r="P40" t="n">
        <v>64.12</v>
      </c>
      <c r="Q40" t="n">
        <v>65.55</v>
      </c>
      <c r="R40" t="n">
        <v>64.89</v>
      </c>
      <c r="S40" t="n">
        <v>67.47</v>
      </c>
      <c r="T40" t="n">
        <v>66.13</v>
      </c>
      <c r="U40" t="n">
        <v>67.13</v>
      </c>
      <c r="V40" t="n">
        <v>67.37</v>
      </c>
      <c r="W40" t="n">
        <v>68.24</v>
      </c>
      <c r="X40" t="n">
        <v>66.92</v>
      </c>
      <c r="Y40" t="n">
        <v>66.18</v>
      </c>
      <c r="Z40" t="n">
        <v>65.69</v>
      </c>
      <c r="AA40" t="n">
        <v>67.76</v>
      </c>
      <c r="AB40" t="n">
        <v>71.23</v>
      </c>
      <c r="AC40" t="n">
        <v>76.3</v>
      </c>
      <c r="AD40" t="n">
        <v>77.73</v>
      </c>
      <c r="AE40" t="n">
        <v>75.39</v>
      </c>
      <c r="AF40" t="n">
        <v>74.95</v>
      </c>
    </row>
    <row r="41">
      <c r="A41" t="s">
        <v>18</v>
      </c>
      <c r="B41" t="s">
        <v>239</v>
      </c>
      <c r="C41" t="s">
        <v>129</v>
      </c>
      <c r="D41" t="s">
        <v>240</v>
      </c>
      <c r="E41" t="s">
        <v>130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</v>
      </c>
      <c r="B42" t="s">
        <v>241</v>
      </c>
      <c r="C42" t="s">
        <v>129</v>
      </c>
      <c r="D42" t="s">
        <v>242</v>
      </c>
      <c r="E42" t="s">
        <v>130</v>
      </c>
      <c r="F42" t="n">
        <v>73.27</v>
      </c>
      <c r="G42" t="n">
        <v>68.25</v>
      </c>
      <c r="H42" t="n">
        <v>82.12</v>
      </c>
      <c r="I42" t="n">
        <v>90.89</v>
      </c>
      <c r="J42" t="n">
        <v>101.37</v>
      </c>
      <c r="K42" t="n">
        <v>112.99</v>
      </c>
      <c r="L42" t="n">
        <v>113.96</v>
      </c>
      <c r="M42" t="n">
        <v>119.02</v>
      </c>
      <c r="N42" t="n">
        <v>134.37</v>
      </c>
      <c r="O42" t="n">
        <v>138.53</v>
      </c>
      <c r="P42" t="n">
        <v>137.03</v>
      </c>
      <c r="Q42" t="n">
        <v>134.81</v>
      </c>
      <c r="R42" t="n">
        <v>139.14</v>
      </c>
      <c r="S42" t="n">
        <v>158.84</v>
      </c>
      <c r="T42" t="n">
        <v>166.46</v>
      </c>
      <c r="U42" t="n">
        <v>151.66</v>
      </c>
      <c r="V42" t="n">
        <v>152</v>
      </c>
      <c r="W42" t="n">
        <v>137.94</v>
      </c>
      <c r="X42" t="n">
        <v>178.39</v>
      </c>
      <c r="Y42" t="n">
        <v>210.78</v>
      </c>
      <c r="Z42" t="n">
        <v>223.39</v>
      </c>
      <c r="AA42" t="n">
        <v>242.06</v>
      </c>
      <c r="AB42" t="n">
        <v>258.94</v>
      </c>
      <c r="AC42" t="n">
        <v>264.15</v>
      </c>
      <c r="AD42" t="n">
        <v>267.43</v>
      </c>
      <c r="AE42" t="n">
        <v>277</v>
      </c>
      <c r="AF42" t="n">
        <v>285.61</v>
      </c>
    </row>
    <row r="43">
      <c r="A43" t="s">
        <v>18</v>
      </c>
      <c r="B43" t="s">
        <v>243</v>
      </c>
      <c r="C43" t="s">
        <v>129</v>
      </c>
      <c r="D43" t="s">
        <v>244</v>
      </c>
      <c r="E43" t="s">
        <v>130</v>
      </c>
      <c r="F43" t="n">
        <v>118.85</v>
      </c>
      <c r="G43" t="n">
        <v>114.51</v>
      </c>
      <c r="H43" t="n">
        <v>138.99</v>
      </c>
      <c r="I43" t="n">
        <v>151.57</v>
      </c>
      <c r="J43" t="n">
        <v>167.95</v>
      </c>
      <c r="K43" t="n">
        <v>195.34</v>
      </c>
      <c r="L43" t="n">
        <v>200.44</v>
      </c>
      <c r="M43" t="n">
        <v>207.9</v>
      </c>
      <c r="N43" t="n">
        <v>235.86</v>
      </c>
      <c r="O43" t="n">
        <v>253.63</v>
      </c>
      <c r="P43" t="n">
        <v>261.2</v>
      </c>
      <c r="Q43" t="n">
        <v>263.61</v>
      </c>
      <c r="R43" t="n">
        <v>274.72</v>
      </c>
      <c r="S43" t="n">
        <v>301.85</v>
      </c>
      <c r="T43" t="n">
        <v>336.55</v>
      </c>
      <c r="U43" t="n">
        <v>342.53</v>
      </c>
      <c r="V43" t="n">
        <v>349.72</v>
      </c>
      <c r="W43" t="n">
        <v>304.09</v>
      </c>
      <c r="X43" t="n">
        <v>350.44</v>
      </c>
      <c r="Y43" t="n">
        <v>428.76</v>
      </c>
      <c r="Z43" t="n">
        <v>457.7</v>
      </c>
      <c r="AA43" t="n">
        <v>471.34</v>
      </c>
      <c r="AB43" t="n">
        <v>491.85</v>
      </c>
      <c r="AC43" t="n">
        <v>511.77</v>
      </c>
      <c r="AD43" t="n">
        <v>519.64</v>
      </c>
      <c r="AE43" t="n">
        <v>526.89</v>
      </c>
      <c r="AF43" t="n">
        <v>540.31</v>
      </c>
    </row>
    <row r="44">
      <c r="A44" t="s">
        <v>18</v>
      </c>
      <c r="B44" t="s">
        <v>245</v>
      </c>
      <c r="C44" t="s">
        <v>129</v>
      </c>
      <c r="D44" t="s">
        <v>246</v>
      </c>
      <c r="E44" t="s">
        <v>130</v>
      </c>
      <c r="F44" t="n">
        <v>2948.09</v>
      </c>
      <c r="G44" t="n">
        <v>2972.57</v>
      </c>
      <c r="H44" t="n">
        <v>3024.64</v>
      </c>
      <c r="I44" t="n">
        <v>3048.81</v>
      </c>
      <c r="J44" t="n">
        <v>3135.12</v>
      </c>
      <c r="K44" t="n">
        <v>3162.5</v>
      </c>
      <c r="L44" t="n">
        <v>3169.97</v>
      </c>
      <c r="M44" t="n">
        <v>3157.22</v>
      </c>
      <c r="N44" t="n">
        <v>3187.09</v>
      </c>
      <c r="O44" t="n">
        <v>3159.35</v>
      </c>
      <c r="P44" t="n">
        <v>3161.71</v>
      </c>
      <c r="Q44" t="n">
        <v>3191.18</v>
      </c>
      <c r="R44" t="n">
        <v>3211.46</v>
      </c>
      <c r="S44" t="n">
        <v>3157.54</v>
      </c>
      <c r="T44" t="n">
        <v>3029.92</v>
      </c>
      <c r="U44" t="n">
        <v>2972.65</v>
      </c>
      <c r="V44" t="n">
        <v>2993.43</v>
      </c>
      <c r="W44" t="n">
        <v>3011.18</v>
      </c>
      <c r="X44" t="n">
        <v>3022.39</v>
      </c>
      <c r="Y44" t="n">
        <v>3162.56</v>
      </c>
      <c r="Z44" t="n">
        <v>3220.81</v>
      </c>
      <c r="AA44" t="n">
        <v>3335.02</v>
      </c>
      <c r="AB44" t="n">
        <v>3446.3</v>
      </c>
      <c r="AC44" t="n">
        <v>3535.81</v>
      </c>
      <c r="AD44" t="n">
        <v>3598.76</v>
      </c>
      <c r="AE44" t="n">
        <v>3565.47</v>
      </c>
      <c r="AF44" t="n">
        <v>3624.2</v>
      </c>
    </row>
    <row r="45">
      <c r="A45" t="s">
        <v>18</v>
      </c>
      <c r="B45" t="s">
        <v>247</v>
      </c>
      <c r="C45" t="s">
        <v>129</v>
      </c>
      <c r="D45" t="s">
        <v>248</v>
      </c>
      <c r="E45" t="s">
        <v>130</v>
      </c>
      <c r="F45" t="n">
        <v>2617.15</v>
      </c>
      <c r="G45" t="n">
        <v>2631.19</v>
      </c>
      <c r="H45" t="n">
        <v>2696.46</v>
      </c>
      <c r="I45" t="n">
        <v>2737.05</v>
      </c>
      <c r="J45" t="n">
        <v>2826.82</v>
      </c>
      <c r="K45" t="n">
        <v>2875.24</v>
      </c>
      <c r="L45" t="n">
        <v>2897.12</v>
      </c>
      <c r="M45" t="n">
        <v>2893.19</v>
      </c>
      <c r="N45" t="n">
        <v>2951.98</v>
      </c>
      <c r="O45" t="n">
        <v>2940.59</v>
      </c>
      <c r="P45" t="n">
        <v>2951.99</v>
      </c>
      <c r="Q45" t="n">
        <v>2986.54</v>
      </c>
      <c r="R45" t="n">
        <v>3017.24</v>
      </c>
      <c r="S45" t="n">
        <v>2977.26</v>
      </c>
      <c r="T45" t="n">
        <v>2866.32</v>
      </c>
      <c r="U45" t="n">
        <v>2809.52</v>
      </c>
      <c r="V45" t="n">
        <v>2823.4</v>
      </c>
      <c r="W45" t="n">
        <v>2819.95</v>
      </c>
      <c r="X45" t="n">
        <v>2851.02</v>
      </c>
      <c r="Y45" t="n">
        <v>2989.25</v>
      </c>
      <c r="Z45" t="n">
        <v>3046.17</v>
      </c>
      <c r="AA45" t="n">
        <v>3147.03</v>
      </c>
      <c r="AB45" t="n">
        <v>3252.88</v>
      </c>
      <c r="AC45" t="n">
        <v>3346.15</v>
      </c>
      <c r="AD45" t="n">
        <v>3413.67</v>
      </c>
      <c r="AE45" t="n">
        <v>3376.82</v>
      </c>
      <c r="AF45" t="n">
        <v>3446.11</v>
      </c>
    </row>
    <row r="46">
      <c r="A46" t="s">
        <v>18</v>
      </c>
      <c r="B46" t="s">
        <v>249</v>
      </c>
      <c r="C46" t="s">
        <v>129</v>
      </c>
      <c r="D46" t="s">
        <v>250</v>
      </c>
      <c r="E46" t="s">
        <v>130</v>
      </c>
      <c r="F46" t="n">
        <v>45.58</v>
      </c>
      <c r="G46" t="n">
        <v>46.26</v>
      </c>
      <c r="H46" t="n">
        <v>56.87</v>
      </c>
      <c r="I46" t="n">
        <v>60.68</v>
      </c>
      <c r="J46" t="n">
        <v>66.58</v>
      </c>
      <c r="K46" t="n">
        <v>82.35</v>
      </c>
      <c r="L46" t="n">
        <v>86.48</v>
      </c>
      <c r="M46" t="n">
        <v>88.88</v>
      </c>
      <c r="N46" t="n">
        <v>101.49</v>
      </c>
      <c r="O46" t="n">
        <v>115.1</v>
      </c>
      <c r="P46" t="n">
        <v>124.17</v>
      </c>
      <c r="Q46" t="n">
        <v>128.8</v>
      </c>
      <c r="R46" t="n">
        <v>135.58</v>
      </c>
      <c r="S46" t="n">
        <v>143.01</v>
      </c>
      <c r="T46" t="n">
        <v>170.09</v>
      </c>
      <c r="U46" t="n">
        <v>190.87</v>
      </c>
      <c r="V46" t="n">
        <v>197.72</v>
      </c>
      <c r="W46" t="n">
        <v>166.15</v>
      </c>
      <c r="X46" t="n">
        <v>172.05</v>
      </c>
      <c r="Y46" t="n">
        <v>217.98</v>
      </c>
      <c r="Z46" t="n">
        <v>234.31</v>
      </c>
      <c r="AA46" t="n">
        <v>229.28</v>
      </c>
      <c r="AB46" t="n">
        <v>232.91</v>
      </c>
      <c r="AC46" t="n">
        <v>247.62</v>
      </c>
      <c r="AD46" t="n">
        <v>252.21</v>
      </c>
      <c r="AE46" t="n">
        <v>249.89</v>
      </c>
      <c r="AF46" t="n">
        <v>254.7</v>
      </c>
    </row>
    <row r="47">
      <c r="A47" t="s">
        <v>18</v>
      </c>
      <c r="B47" t="s">
        <v>251</v>
      </c>
      <c r="C47" t="s">
        <v>129</v>
      </c>
      <c r="D47" t="s">
        <v>252</v>
      </c>
      <c r="E47" t="s">
        <v>130</v>
      </c>
      <c r="F47" t="n">
        <v>315.61</v>
      </c>
      <c r="G47" t="n">
        <v>308.17</v>
      </c>
      <c r="H47" t="n">
        <v>298.59</v>
      </c>
      <c r="I47" t="n">
        <v>293.87</v>
      </c>
      <c r="J47" t="n">
        <v>293.21</v>
      </c>
      <c r="K47" t="n">
        <v>285.34</v>
      </c>
      <c r="L47" t="n">
        <v>298.2</v>
      </c>
      <c r="M47" t="n">
        <v>298.07</v>
      </c>
      <c r="N47" t="n">
        <v>305.53</v>
      </c>
      <c r="O47" t="n">
        <v>298.11</v>
      </c>
      <c r="P47" t="n">
        <v>290.11</v>
      </c>
      <c r="Q47" t="n">
        <v>286.33</v>
      </c>
      <c r="R47" t="n">
        <v>282.59</v>
      </c>
      <c r="S47" t="n">
        <v>274.95</v>
      </c>
      <c r="T47" t="n">
        <v>301.98</v>
      </c>
      <c r="U47" t="n">
        <v>352.22</v>
      </c>
      <c r="V47" t="n">
        <v>319.44</v>
      </c>
      <c r="W47" t="n">
        <v>346.13</v>
      </c>
      <c r="X47" t="n">
        <v>390.51</v>
      </c>
      <c r="Y47" t="n">
        <v>410.16</v>
      </c>
      <c r="Z47" t="n">
        <v>441.58</v>
      </c>
      <c r="AA47" t="n">
        <v>454.08</v>
      </c>
      <c r="AB47" t="n">
        <v>413.78</v>
      </c>
      <c r="AC47" t="n">
        <v>386.77</v>
      </c>
      <c r="AD47" t="n">
        <v>362.82</v>
      </c>
      <c r="AE47" t="n">
        <v>369.61</v>
      </c>
      <c r="AF47" t="n">
        <v>371.63</v>
      </c>
    </row>
    <row r="48">
      <c r="A48" t="s">
        <v>18</v>
      </c>
      <c r="B48" t="s">
        <v>253</v>
      </c>
      <c r="C48" t="s">
        <v>129</v>
      </c>
      <c r="D48" t="s">
        <v>254</v>
      </c>
      <c r="E48" t="s">
        <v>130</v>
      </c>
      <c r="F48" t="n">
        <v>900.29</v>
      </c>
      <c r="G48" t="n">
        <v>864.99</v>
      </c>
      <c r="H48" t="n">
        <v>851.71</v>
      </c>
      <c r="I48" t="n">
        <v>863.47</v>
      </c>
      <c r="J48" t="n">
        <v>852.49</v>
      </c>
      <c r="K48" t="n">
        <v>851.92</v>
      </c>
      <c r="L48" t="n">
        <v>855.65</v>
      </c>
      <c r="M48" t="n">
        <v>861.47</v>
      </c>
      <c r="N48" t="n">
        <v>911.04</v>
      </c>
      <c r="O48" t="n">
        <v>900.31</v>
      </c>
      <c r="P48" t="n">
        <v>870.62</v>
      </c>
      <c r="Q48" t="n">
        <v>875.85</v>
      </c>
      <c r="R48" t="n">
        <v>832.11</v>
      </c>
      <c r="S48" t="n">
        <v>802.64</v>
      </c>
      <c r="T48" t="n">
        <v>856.25</v>
      </c>
      <c r="U48" t="n">
        <v>880.95</v>
      </c>
      <c r="V48" t="n">
        <v>856</v>
      </c>
      <c r="W48" t="n">
        <v>874.11</v>
      </c>
      <c r="X48" t="n">
        <v>923.6</v>
      </c>
      <c r="Y48" t="n">
        <v>962.47</v>
      </c>
      <c r="Z48" t="n">
        <v>1005.74</v>
      </c>
      <c r="AA48" t="n">
        <v>1031.6</v>
      </c>
      <c r="AB48" t="n">
        <v>995.68</v>
      </c>
      <c r="AC48" t="n">
        <v>984.83</v>
      </c>
      <c r="AD48" t="n">
        <v>967.09</v>
      </c>
      <c r="AE48" t="n">
        <v>967.11</v>
      </c>
      <c r="AF48" t="n">
        <v>975.14</v>
      </c>
    </row>
    <row r="49">
      <c r="A49" t="s">
        <v>18</v>
      </c>
      <c r="B49" t="s">
        <v>255</v>
      </c>
      <c r="C49" t="s">
        <v>129</v>
      </c>
      <c r="D49" t="s">
        <v>256</v>
      </c>
      <c r="E49" t="s">
        <v>130</v>
      </c>
      <c r="F49" t="n">
        <v>341.07</v>
      </c>
      <c r="G49" t="n">
        <v>317.57</v>
      </c>
      <c r="H49" t="n">
        <v>302.96</v>
      </c>
      <c r="I49" t="n">
        <v>312.41</v>
      </c>
      <c r="J49" t="n">
        <v>307.54</v>
      </c>
      <c r="K49" t="n">
        <v>308.7</v>
      </c>
      <c r="L49" t="n">
        <v>304.51</v>
      </c>
      <c r="M49" t="n">
        <v>308.34</v>
      </c>
      <c r="N49" t="n">
        <v>323.42</v>
      </c>
      <c r="O49" t="n">
        <v>319.77</v>
      </c>
      <c r="P49" t="n">
        <v>305.37</v>
      </c>
      <c r="Q49" t="n">
        <v>308.91</v>
      </c>
      <c r="R49" t="n">
        <v>280.51</v>
      </c>
      <c r="S49" t="n">
        <v>265.54</v>
      </c>
      <c r="T49" t="n">
        <v>268.49</v>
      </c>
      <c r="U49" t="n">
        <v>266.05</v>
      </c>
      <c r="V49" t="n">
        <v>262.79</v>
      </c>
      <c r="W49" t="n">
        <v>260.05</v>
      </c>
      <c r="X49" t="n">
        <v>255.32</v>
      </c>
      <c r="Y49" t="n">
        <v>262.61</v>
      </c>
      <c r="Z49" t="n">
        <v>269.47</v>
      </c>
      <c r="AA49" t="n">
        <v>276.37</v>
      </c>
      <c r="AB49" t="n">
        <v>279.95</v>
      </c>
      <c r="AC49" t="n">
        <v>288.73</v>
      </c>
      <c r="AD49" t="n">
        <v>289.83</v>
      </c>
      <c r="AE49" t="n">
        <v>276.86</v>
      </c>
      <c r="AF49" t="n">
        <v>282.08</v>
      </c>
    </row>
    <row r="50">
      <c r="A50" t="s">
        <v>18</v>
      </c>
      <c r="B50" t="s">
        <v>257</v>
      </c>
      <c r="C50" t="s">
        <v>129</v>
      </c>
      <c r="D50" t="s">
        <v>258</v>
      </c>
      <c r="E50" t="s">
        <v>130</v>
      </c>
      <c r="F50" t="n">
        <v>243.61</v>
      </c>
      <c r="G50" t="n">
        <v>239.26</v>
      </c>
      <c r="H50" t="n">
        <v>250.16</v>
      </c>
      <c r="I50" t="n">
        <v>257.18</v>
      </c>
      <c r="J50" t="n">
        <v>251.73</v>
      </c>
      <c r="K50" t="n">
        <v>257.87</v>
      </c>
      <c r="L50" t="n">
        <v>252.93</v>
      </c>
      <c r="M50" t="n">
        <v>255.07</v>
      </c>
      <c r="N50" t="n">
        <v>282.09</v>
      </c>
      <c r="O50" t="n">
        <v>282.43</v>
      </c>
      <c r="P50" t="n">
        <v>275.15</v>
      </c>
      <c r="Q50" t="n">
        <v>280.61</v>
      </c>
      <c r="R50" t="n">
        <v>269.01</v>
      </c>
      <c r="S50" t="n">
        <v>262.15</v>
      </c>
      <c r="T50" t="n">
        <v>285.77</v>
      </c>
      <c r="U50" t="n">
        <v>262.67</v>
      </c>
      <c r="V50" t="n">
        <v>273.77</v>
      </c>
      <c r="W50" t="n">
        <v>267.92</v>
      </c>
      <c r="X50" t="n">
        <v>277.77</v>
      </c>
      <c r="Y50" t="n">
        <v>289.7</v>
      </c>
      <c r="Z50" t="n">
        <v>294.69</v>
      </c>
      <c r="AA50" t="n">
        <v>301.15</v>
      </c>
      <c r="AB50" t="n">
        <v>301.94</v>
      </c>
      <c r="AC50" t="n">
        <v>309.33</v>
      </c>
      <c r="AD50" t="n">
        <v>314.44</v>
      </c>
      <c r="AE50" t="n">
        <v>320.65</v>
      </c>
      <c r="AF50" t="n">
        <v>321.44</v>
      </c>
    </row>
    <row r="51">
      <c r="A51" t="s">
        <v>18</v>
      </c>
      <c r="B51" t="s">
        <v>259</v>
      </c>
      <c r="C51" t="s">
        <v>129</v>
      </c>
      <c r="D51" t="s">
        <v>260</v>
      </c>
      <c r="E51" t="s">
        <v>130</v>
      </c>
      <c r="F51" t="n">
        <v>161.46</v>
      </c>
      <c r="G51" t="n">
        <v>159.23</v>
      </c>
      <c r="H51" t="n">
        <v>166.12</v>
      </c>
      <c r="I51" t="n">
        <v>171.03</v>
      </c>
      <c r="J51" t="n">
        <v>167.22</v>
      </c>
      <c r="K51" t="n">
        <v>172.98</v>
      </c>
      <c r="L51" t="n">
        <v>169.34</v>
      </c>
      <c r="M51" t="n">
        <v>170.34</v>
      </c>
      <c r="N51" t="n">
        <v>188.34</v>
      </c>
      <c r="O51" t="n">
        <v>189.42</v>
      </c>
      <c r="P51" t="n">
        <v>183.52</v>
      </c>
      <c r="Q51" t="n">
        <v>187.03</v>
      </c>
      <c r="R51" t="n">
        <v>178.74</v>
      </c>
      <c r="S51" t="n">
        <v>177.33</v>
      </c>
      <c r="T51" t="n">
        <v>191.77</v>
      </c>
      <c r="U51" t="n">
        <v>170.79</v>
      </c>
      <c r="V51" t="n">
        <v>182.01</v>
      </c>
      <c r="W51" t="n">
        <v>183.57</v>
      </c>
      <c r="X51" t="n">
        <v>183.86</v>
      </c>
      <c r="Y51" t="n">
        <v>185.88</v>
      </c>
      <c r="Z51" t="n">
        <v>181.99</v>
      </c>
      <c r="AA51" t="n">
        <v>186.43</v>
      </c>
      <c r="AB51" t="n">
        <v>182.68</v>
      </c>
      <c r="AC51" t="n">
        <v>187.81</v>
      </c>
      <c r="AD51" t="n">
        <v>192.46</v>
      </c>
      <c r="AE51" t="n">
        <v>190.32</v>
      </c>
      <c r="AF51" t="n">
        <v>192.31</v>
      </c>
    </row>
    <row r="52">
      <c r="A52" t="s">
        <v>18</v>
      </c>
      <c r="B52" t="s">
        <v>261</v>
      </c>
      <c r="C52" t="s">
        <v>129</v>
      </c>
      <c r="D52" t="s">
        <v>262</v>
      </c>
      <c r="E52" t="s">
        <v>130</v>
      </c>
      <c r="F52" t="n">
        <v>82.15</v>
      </c>
      <c r="G52" t="n">
        <v>80.03</v>
      </c>
      <c r="H52" t="n">
        <v>84.04</v>
      </c>
      <c r="I52" t="n">
        <v>86.15</v>
      </c>
      <c r="J52" t="n">
        <v>84.51</v>
      </c>
      <c r="K52" t="n">
        <v>84.89</v>
      </c>
      <c r="L52" t="n">
        <v>83.59</v>
      </c>
      <c r="M52" t="n">
        <v>84.73</v>
      </c>
      <c r="N52" t="n">
        <v>93.75</v>
      </c>
      <c r="O52" t="n">
        <v>93.01</v>
      </c>
      <c r="P52" t="n">
        <v>91.63</v>
      </c>
      <c r="Q52" t="n">
        <v>93.58</v>
      </c>
      <c r="R52" t="n">
        <v>90.27</v>
      </c>
      <c r="S52" t="n">
        <v>84.82</v>
      </c>
      <c r="T52" t="n">
        <v>94</v>
      </c>
      <c r="U52" t="n">
        <v>91.88</v>
      </c>
      <c r="V52" t="n">
        <v>91.76</v>
      </c>
      <c r="W52" t="n">
        <v>84.35</v>
      </c>
      <c r="X52" t="n">
        <v>93.91</v>
      </c>
      <c r="Y52" t="n">
        <v>103.82</v>
      </c>
      <c r="Z52" t="n">
        <v>112.7</v>
      </c>
      <c r="AA52" t="n">
        <v>114.72</v>
      </c>
      <c r="AB52" t="n">
        <v>119.26</v>
      </c>
      <c r="AC52" t="n">
        <v>121.52</v>
      </c>
      <c r="AD52" t="n">
        <v>121.98</v>
      </c>
      <c r="AE52" t="n">
        <v>130.33</v>
      </c>
      <c r="AF52" t="n">
        <v>129.13</v>
      </c>
    </row>
    <row r="53">
      <c r="A53" t="s">
        <v>18</v>
      </c>
      <c r="B53" t="s">
        <v>263</v>
      </c>
      <c r="C53" t="s">
        <v>129</v>
      </c>
      <c r="D53" t="s">
        <v>264</v>
      </c>
      <c r="E53" t="s">
        <v>130</v>
      </c>
      <c r="F53" t="n">
        <v>63.25</v>
      </c>
      <c r="G53" t="n">
        <v>56.27</v>
      </c>
      <c r="H53" t="n">
        <v>54.64</v>
      </c>
      <c r="I53" t="n">
        <v>58.06</v>
      </c>
      <c r="J53" t="n">
        <v>57.01</v>
      </c>
      <c r="K53" t="n">
        <v>57.91</v>
      </c>
      <c r="L53" t="n">
        <v>58.2</v>
      </c>
      <c r="M53" t="n">
        <v>58.36</v>
      </c>
      <c r="N53" t="n">
        <v>67.06</v>
      </c>
      <c r="O53" t="n">
        <v>69.78</v>
      </c>
      <c r="P53" t="n">
        <v>65.05</v>
      </c>
      <c r="Q53" t="n">
        <v>66.46</v>
      </c>
      <c r="R53" t="n">
        <v>70.86</v>
      </c>
      <c r="S53" t="n">
        <v>67.3</v>
      </c>
      <c r="T53" t="n">
        <v>60.31</v>
      </c>
      <c r="U53" t="n">
        <v>64.47</v>
      </c>
      <c r="V53" t="n">
        <v>64.07</v>
      </c>
      <c r="W53" t="n">
        <v>58.82</v>
      </c>
      <c r="X53" t="n">
        <v>62.56</v>
      </c>
      <c r="Y53" t="n">
        <v>69.96</v>
      </c>
      <c r="Z53" t="n">
        <v>75.96</v>
      </c>
      <c r="AA53" t="n">
        <v>77.69</v>
      </c>
      <c r="AB53" t="n">
        <v>78.89</v>
      </c>
      <c r="AC53" t="n">
        <v>82.67</v>
      </c>
      <c r="AD53" t="n">
        <v>85.9</v>
      </c>
      <c r="AE53" t="n">
        <v>83.43</v>
      </c>
      <c r="AF53" t="n">
        <v>84.59</v>
      </c>
    </row>
    <row r="54">
      <c r="A54" t="s">
        <v>18</v>
      </c>
      <c r="B54" t="s">
        <v>265</v>
      </c>
      <c r="C54" t="s">
        <v>129</v>
      </c>
      <c r="D54" t="s">
        <v>266</v>
      </c>
      <c r="E54" t="s">
        <v>130</v>
      </c>
      <c r="F54" t="n">
        <v>163.36</v>
      </c>
      <c r="G54" t="n">
        <v>152.11</v>
      </c>
      <c r="H54" t="n">
        <v>151.87</v>
      </c>
      <c r="I54" t="n">
        <v>158.26</v>
      </c>
      <c r="J54" t="n">
        <v>157.1</v>
      </c>
      <c r="K54" t="n">
        <v>145.52</v>
      </c>
      <c r="L54" t="n">
        <v>145.64</v>
      </c>
      <c r="M54" t="n">
        <v>144.83</v>
      </c>
      <c r="N54" t="n">
        <v>160.18</v>
      </c>
      <c r="O54" t="n">
        <v>163.99</v>
      </c>
      <c r="P54" t="n">
        <v>164.89</v>
      </c>
      <c r="Q54" t="n">
        <v>164.1</v>
      </c>
      <c r="R54" t="n">
        <v>181.22</v>
      </c>
      <c r="S54" t="n">
        <v>169.9</v>
      </c>
      <c r="T54" t="n">
        <v>148.83</v>
      </c>
      <c r="U54" t="n">
        <v>152.15</v>
      </c>
      <c r="V54" t="n">
        <v>157.3</v>
      </c>
      <c r="W54" t="n">
        <v>153.66</v>
      </c>
      <c r="X54" t="n">
        <v>165.1</v>
      </c>
      <c r="Y54" t="n">
        <v>173.07</v>
      </c>
      <c r="Z54" t="n">
        <v>185.46</v>
      </c>
      <c r="AA54" t="n">
        <v>181.13</v>
      </c>
      <c r="AB54" t="n">
        <v>187.27</v>
      </c>
      <c r="AC54" t="n">
        <v>194.32</v>
      </c>
      <c r="AD54" t="n">
        <v>208.68</v>
      </c>
      <c r="AE54" t="n">
        <v>213.71</v>
      </c>
      <c r="AF54" t="n">
        <v>220.37</v>
      </c>
    </row>
    <row r="55">
      <c r="A55" t="s">
        <v>18</v>
      </c>
      <c r="B55" t="s">
        <v>267</v>
      </c>
      <c r="C55" t="s">
        <v>129</v>
      </c>
      <c r="D55" t="s">
        <v>268</v>
      </c>
      <c r="E55" t="s">
        <v>130</v>
      </c>
      <c r="F55" t="n">
        <v>100.11</v>
      </c>
      <c r="G55" t="n">
        <v>95.84</v>
      </c>
      <c r="H55" t="n">
        <v>97.23</v>
      </c>
      <c r="I55" t="n">
        <v>100.2</v>
      </c>
      <c r="J55" t="n">
        <v>100.09</v>
      </c>
      <c r="K55" t="n">
        <v>87.61</v>
      </c>
      <c r="L55" t="n">
        <v>87.44</v>
      </c>
      <c r="M55" t="n">
        <v>86.47</v>
      </c>
      <c r="N55" t="n">
        <v>93.12</v>
      </c>
      <c r="O55" t="n">
        <v>94.21</v>
      </c>
      <c r="P55" t="n">
        <v>99.84</v>
      </c>
      <c r="Q55" t="n">
        <v>97.64</v>
      </c>
      <c r="R55" t="n">
        <v>110.36</v>
      </c>
      <c r="S55" t="n">
        <v>102.6</v>
      </c>
      <c r="T55" t="n">
        <v>88.52</v>
      </c>
      <c r="U55" t="n">
        <v>87.68</v>
      </c>
      <c r="V55" t="n">
        <v>93.23</v>
      </c>
      <c r="W55" t="n">
        <v>94.84</v>
      </c>
      <c r="X55" t="n">
        <v>102.54</v>
      </c>
      <c r="Y55" t="n">
        <v>103.11</v>
      </c>
      <c r="Z55" t="n">
        <v>109.5</v>
      </c>
      <c r="AA55" t="n">
        <v>103.44</v>
      </c>
      <c r="AB55" t="n">
        <v>108.38</v>
      </c>
      <c r="AC55" t="n">
        <v>111.65</v>
      </c>
      <c r="AD55" t="n">
        <v>122.78</v>
      </c>
      <c r="AE55" t="n">
        <v>130.28</v>
      </c>
      <c r="AF55" t="n">
        <v>135.78</v>
      </c>
    </row>
    <row r="56">
      <c r="A56" t="s">
        <v>18</v>
      </c>
      <c r="B56" t="s">
        <v>269</v>
      </c>
      <c r="C56" t="s">
        <v>129</v>
      </c>
      <c r="D56" t="s">
        <v>270</v>
      </c>
      <c r="E56" t="s">
        <v>130</v>
      </c>
      <c r="F56" t="n">
        <v>3.56</v>
      </c>
      <c r="G56" t="n">
        <v>4.54</v>
      </c>
      <c r="H56" t="n">
        <v>6.36</v>
      </c>
      <c r="I56" t="n">
        <v>7.87</v>
      </c>
      <c r="J56" t="n">
        <v>8.94</v>
      </c>
      <c r="K56" t="n">
        <v>9.4</v>
      </c>
      <c r="L56" t="n">
        <v>7.98</v>
      </c>
      <c r="M56" t="n">
        <v>7.13</v>
      </c>
      <c r="N56" t="n">
        <v>6.44</v>
      </c>
      <c r="O56" t="n">
        <v>6.19</v>
      </c>
      <c r="P56" t="n">
        <v>5.41</v>
      </c>
      <c r="Q56" t="n">
        <v>6.02</v>
      </c>
      <c r="R56" t="n">
        <v>5.49</v>
      </c>
      <c r="S56" t="n">
        <v>4.6</v>
      </c>
      <c r="T56" t="n">
        <v>5.21</v>
      </c>
      <c r="U56" t="n">
        <v>4.89</v>
      </c>
      <c r="V56" t="n">
        <v>5.12</v>
      </c>
      <c r="W56" t="n">
        <v>5.23</v>
      </c>
      <c r="X56" t="n">
        <v>5.05</v>
      </c>
      <c r="Y56" t="n">
        <v>5.05</v>
      </c>
      <c r="Z56" t="n">
        <v>6.94</v>
      </c>
      <c r="AA56" t="n">
        <v>7.2</v>
      </c>
      <c r="AB56" t="n">
        <v>6.35</v>
      </c>
      <c r="AC56" t="n">
        <v>9.02</v>
      </c>
      <c r="AD56" t="n">
        <v>8.15</v>
      </c>
      <c r="AE56" t="n">
        <v>7.85</v>
      </c>
      <c r="AF56" t="n">
        <v>6.92</v>
      </c>
    </row>
    <row r="57">
      <c r="A57" t="s">
        <v>18</v>
      </c>
      <c r="B57" t="s">
        <v>271</v>
      </c>
      <c r="C57" t="s">
        <v>129</v>
      </c>
      <c r="D57" t="s">
        <v>272</v>
      </c>
      <c r="E57" t="s">
        <v>130</v>
      </c>
      <c r="F57" t="n">
        <v>3911.48</v>
      </c>
      <c r="G57" t="n">
        <v>3904.39</v>
      </c>
      <c r="H57" t="n">
        <v>3945.11</v>
      </c>
      <c r="I57" t="n">
        <v>3980.95</v>
      </c>
      <c r="J57" t="n">
        <v>4058.98</v>
      </c>
      <c r="K57" t="n">
        <v>4085.74</v>
      </c>
      <c r="L57" t="n">
        <v>4094.89</v>
      </c>
      <c r="M57" t="n">
        <v>4089.9</v>
      </c>
      <c r="N57" t="n">
        <v>4169.94</v>
      </c>
      <c r="O57" t="n">
        <v>4131.18</v>
      </c>
      <c r="P57" t="n">
        <v>4101.87</v>
      </c>
      <c r="Q57" t="n">
        <v>4138.6</v>
      </c>
      <c r="R57" t="n">
        <v>4113.95</v>
      </c>
      <c r="S57" t="n">
        <v>4032.25</v>
      </c>
      <c r="T57" t="n">
        <v>3957.5</v>
      </c>
      <c r="U57" t="n">
        <v>3925.61</v>
      </c>
      <c r="V57" t="n">
        <v>3921.92</v>
      </c>
      <c r="W57" t="n">
        <v>3958.75</v>
      </c>
      <c r="X57" t="n">
        <v>4017.96</v>
      </c>
      <c r="Y57" t="n">
        <v>4196.26</v>
      </c>
      <c r="Z57" t="n">
        <v>4299.18</v>
      </c>
      <c r="AA57" t="n">
        <v>4441.58</v>
      </c>
      <c r="AB57" t="n">
        <v>4519.55</v>
      </c>
      <c r="AC57" t="n">
        <v>4605.96</v>
      </c>
      <c r="AD57" t="n">
        <v>4651.73</v>
      </c>
      <c r="AE57" t="n">
        <v>4615.83</v>
      </c>
      <c r="AF57" t="n">
        <v>4681.22</v>
      </c>
    </row>
    <row r="58">
      <c r="A58" t="s">
        <v>18</v>
      </c>
      <c r="B58" t="s">
        <v>273</v>
      </c>
      <c r="C58" t="s">
        <v>129</v>
      </c>
      <c r="D58" t="s">
        <v>274</v>
      </c>
      <c r="E58" t="s">
        <v>130</v>
      </c>
      <c r="F58" t="n">
        <v>3907.92</v>
      </c>
      <c r="G58" t="n">
        <v>3899.85</v>
      </c>
      <c r="H58" t="n">
        <v>3938.75</v>
      </c>
      <c r="I58" t="n">
        <v>3973.08</v>
      </c>
      <c r="J58" t="n">
        <v>4050.04</v>
      </c>
      <c r="K58" t="n">
        <v>4076.34</v>
      </c>
      <c r="L58" t="n">
        <v>4086.91</v>
      </c>
      <c r="M58" t="n">
        <v>4082.77</v>
      </c>
      <c r="N58" t="n">
        <v>4163.5</v>
      </c>
      <c r="O58" t="n">
        <v>4124.99</v>
      </c>
      <c r="P58" t="n">
        <v>4096.46</v>
      </c>
      <c r="Q58" t="n">
        <v>4132.58</v>
      </c>
      <c r="R58" t="n">
        <v>4108.46</v>
      </c>
      <c r="S58" t="n">
        <v>4027.65</v>
      </c>
      <c r="T58" t="n">
        <v>3952.29</v>
      </c>
      <c r="U58" t="n">
        <v>3920.72</v>
      </c>
      <c r="V58" t="n">
        <v>3916.8</v>
      </c>
      <c r="W58" t="n">
        <v>3953.52</v>
      </c>
      <c r="X58" t="n">
        <v>4012.91</v>
      </c>
      <c r="Y58" t="n">
        <v>4191.21</v>
      </c>
      <c r="Z58" t="n">
        <v>4292.24</v>
      </c>
      <c r="AA58" t="n">
        <v>4434.38</v>
      </c>
      <c r="AB58" t="n">
        <v>4513.2</v>
      </c>
      <c r="AC58" t="n">
        <v>4596.94</v>
      </c>
      <c r="AD58" t="n">
        <v>4643.58</v>
      </c>
      <c r="AE58" t="n">
        <v>4607.98</v>
      </c>
      <c r="AF58" t="n">
        <v>4674.3</v>
      </c>
    </row>
    <row r="59">
      <c r="A59" t="s">
        <v>18</v>
      </c>
      <c r="B59" t="s">
        <v>275</v>
      </c>
      <c r="C59" t="s">
        <v>129</v>
      </c>
      <c r="D59" t="s">
        <v>276</v>
      </c>
      <c r="E59" t="s">
        <v>130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>
      <c r="A2" t="s">
        <v>20</v>
      </c>
      <c r="B2" t="s">
        <v>84</v>
      </c>
      <c r="C2" t="s">
        <v>129</v>
      </c>
      <c r="D2" t="s">
        <v>86</v>
      </c>
      <c r="E2" t="s">
        <v>130</v>
      </c>
      <c r="F2" t="n">
        <v>236.67</v>
      </c>
      <c r="G2" t="n">
        <v>240.27</v>
      </c>
      <c r="H2" t="n">
        <v>224.38</v>
      </c>
      <c r="I2" t="n">
        <v>215.81</v>
      </c>
      <c r="J2" t="n">
        <v>202.02</v>
      </c>
      <c r="K2" t="n">
        <v>182.57</v>
      </c>
      <c r="L2" t="n">
        <v>178.61</v>
      </c>
      <c r="M2" t="n">
        <v>169.45</v>
      </c>
      <c r="N2" t="n">
        <v>161.21</v>
      </c>
      <c r="O2" t="n">
        <v>143.38</v>
      </c>
      <c r="P2" t="n">
        <v>141.68</v>
      </c>
      <c r="Q2" t="n">
        <v>137.75</v>
      </c>
      <c r="R2" t="n">
        <v>137.12</v>
      </c>
      <c r="S2" t="n">
        <v>124.71</v>
      </c>
      <c r="T2" t="n">
        <v>112.77</v>
      </c>
      <c r="U2" t="n">
        <v>113.8</v>
      </c>
      <c r="V2" t="n">
        <v>111.58</v>
      </c>
      <c r="W2" t="n">
        <v>121.27</v>
      </c>
      <c r="X2" t="n">
        <v>116.42</v>
      </c>
      <c r="Y2" t="n">
        <v>116.31</v>
      </c>
      <c r="Z2" t="n">
        <v>117.17</v>
      </c>
      <c r="AA2" t="n">
        <v>125.57</v>
      </c>
      <c r="AB2" t="n">
        <v>129.38</v>
      </c>
      <c r="AC2" t="n">
        <v>125.56</v>
      </c>
      <c r="AD2" t="n">
        <v>124.82</v>
      </c>
      <c r="AE2" t="n">
        <v>128.94</v>
      </c>
      <c r="AF2" t="n">
        <v>122.69</v>
      </c>
    </row>
    <row r="3">
      <c r="A3" t="s">
        <v>20</v>
      </c>
      <c r="B3" t="s">
        <v>163</v>
      </c>
      <c r="C3" t="s">
        <v>129</v>
      </c>
      <c r="D3" t="s">
        <v>164</v>
      </c>
      <c r="E3" t="s">
        <v>130</v>
      </c>
      <c r="F3" t="n">
        <v>33.32</v>
      </c>
      <c r="G3" t="n">
        <v>32.24</v>
      </c>
      <c r="H3" t="n">
        <v>26.59</v>
      </c>
      <c r="I3" t="n">
        <v>25.31</v>
      </c>
      <c r="J3" t="n">
        <v>22.06</v>
      </c>
      <c r="K3" t="n">
        <v>18.73</v>
      </c>
      <c r="L3" t="n">
        <v>12.54</v>
      </c>
      <c r="M3" t="n">
        <v>14.14</v>
      </c>
      <c r="N3" t="n">
        <v>12.37</v>
      </c>
      <c r="O3" t="n">
        <v>13.48</v>
      </c>
      <c r="P3" t="n">
        <v>13.8</v>
      </c>
      <c r="Q3" t="n">
        <v>13.73</v>
      </c>
      <c r="R3" t="n">
        <v>13.49</v>
      </c>
      <c r="S3" t="n">
        <v>7.82</v>
      </c>
      <c r="T3" t="n">
        <v>7.31</v>
      </c>
      <c r="U3" t="n">
        <v>9.25</v>
      </c>
      <c r="V3" t="n">
        <v>7.97</v>
      </c>
      <c r="W3" t="n">
        <v>7.13</v>
      </c>
      <c r="X3" t="n">
        <v>4.79</v>
      </c>
      <c r="Y3" t="n">
        <v>6.19</v>
      </c>
      <c r="Z3" t="n">
        <v>6.02</v>
      </c>
      <c r="AA3" t="n">
        <v>6.01</v>
      </c>
      <c r="AB3" t="n">
        <v>6.22</v>
      </c>
      <c r="AC3" t="n">
        <v>6.13</v>
      </c>
      <c r="AD3" t="n">
        <v>6.39</v>
      </c>
      <c r="AE3" t="n">
        <v>4.8</v>
      </c>
      <c r="AF3" t="n">
        <v>4.71</v>
      </c>
    </row>
    <row r="4">
      <c r="A4" t="s">
        <v>20</v>
      </c>
      <c r="B4" t="s">
        <v>165</v>
      </c>
      <c r="C4" t="s">
        <v>129</v>
      </c>
      <c r="D4" t="s">
        <v>166</v>
      </c>
      <c r="E4" t="s">
        <v>130</v>
      </c>
      <c r="F4" t="n">
        <v>857.19</v>
      </c>
      <c r="G4" t="n">
        <v>863.69</v>
      </c>
      <c r="H4" t="n">
        <v>881.44</v>
      </c>
      <c r="I4" t="n">
        <v>924.4</v>
      </c>
      <c r="J4" t="n">
        <v>942.48</v>
      </c>
      <c r="K4" t="n">
        <v>955.38</v>
      </c>
      <c r="L4" t="n">
        <v>960.73</v>
      </c>
      <c r="M4" t="n">
        <v>959.5</v>
      </c>
      <c r="N4" t="n">
        <v>949.64</v>
      </c>
      <c r="O4" t="n">
        <v>891.41</v>
      </c>
      <c r="P4" t="n">
        <v>878.2</v>
      </c>
      <c r="Q4" t="n">
        <v>876.2</v>
      </c>
      <c r="R4" t="n">
        <v>870.85</v>
      </c>
      <c r="S4" t="n">
        <v>840.18</v>
      </c>
      <c r="T4" t="n">
        <v>774.71</v>
      </c>
      <c r="U4" t="n">
        <v>754.13</v>
      </c>
      <c r="V4" t="n">
        <v>751.96</v>
      </c>
      <c r="W4" t="n">
        <v>774.19</v>
      </c>
      <c r="X4" t="n">
        <v>757.97</v>
      </c>
      <c r="Y4" t="n">
        <v>771.3</v>
      </c>
      <c r="Z4" t="n">
        <v>768.54</v>
      </c>
      <c r="AA4" t="n">
        <v>801.53</v>
      </c>
      <c r="AB4" t="n">
        <v>836.6</v>
      </c>
      <c r="AC4" t="n">
        <v>854.95</v>
      </c>
      <c r="AD4" t="n">
        <v>856.81</v>
      </c>
      <c r="AE4" t="n">
        <v>824.83</v>
      </c>
      <c r="AF4" t="n">
        <v>835.35</v>
      </c>
    </row>
    <row r="5">
      <c r="A5" t="s">
        <v>20</v>
      </c>
      <c r="B5" t="s">
        <v>167</v>
      </c>
      <c r="C5" t="s">
        <v>129</v>
      </c>
      <c r="D5" t="s">
        <v>168</v>
      </c>
      <c r="E5" t="s">
        <v>130</v>
      </c>
      <c r="F5" t="n">
        <v>165.67</v>
      </c>
      <c r="G5" t="n">
        <v>175.01</v>
      </c>
      <c r="H5" t="n">
        <v>161.04</v>
      </c>
      <c r="I5" t="n">
        <v>163.62</v>
      </c>
      <c r="J5" t="n">
        <v>165.47</v>
      </c>
      <c r="K5" t="n">
        <v>157.83</v>
      </c>
      <c r="L5" t="n">
        <v>160.17</v>
      </c>
      <c r="M5" t="n">
        <v>165.48</v>
      </c>
      <c r="N5" t="n">
        <v>154.12</v>
      </c>
      <c r="O5" t="n">
        <v>121.63</v>
      </c>
      <c r="P5" t="n">
        <v>112.83</v>
      </c>
      <c r="Q5" t="n">
        <v>121.77</v>
      </c>
      <c r="R5" t="n">
        <v>114.34</v>
      </c>
      <c r="S5" t="n">
        <v>116.02</v>
      </c>
      <c r="T5" t="n">
        <v>112.72</v>
      </c>
      <c r="U5" t="n">
        <v>114.81</v>
      </c>
      <c r="V5" t="n">
        <v>113.95</v>
      </c>
      <c r="W5" t="n">
        <v>121.16</v>
      </c>
      <c r="X5" t="n">
        <v>114.37</v>
      </c>
      <c r="Y5" t="n">
        <v>117.17</v>
      </c>
      <c r="Z5" t="n">
        <v>121.5</v>
      </c>
      <c r="AA5" t="n">
        <v>125.9</v>
      </c>
      <c r="AB5" t="n">
        <v>124.07</v>
      </c>
      <c r="AC5" t="n">
        <v>122.13</v>
      </c>
      <c r="AD5" t="n">
        <v>123.31</v>
      </c>
      <c r="AE5" t="n">
        <v>120.93</v>
      </c>
      <c r="AF5" t="n">
        <v>121.77</v>
      </c>
    </row>
    <row r="6">
      <c r="A6" t="s">
        <v>20</v>
      </c>
      <c r="B6" t="s">
        <v>169</v>
      </c>
      <c r="C6" t="s">
        <v>129</v>
      </c>
      <c r="D6" t="s">
        <v>170</v>
      </c>
      <c r="E6" t="s">
        <v>130</v>
      </c>
      <c r="F6" t="n">
        <v>152.76</v>
      </c>
      <c r="G6" t="n">
        <v>152.78</v>
      </c>
      <c r="H6" t="n">
        <v>167.78</v>
      </c>
      <c r="I6" t="n">
        <v>176.72</v>
      </c>
      <c r="J6" t="n">
        <v>166.81</v>
      </c>
      <c r="K6" t="n">
        <v>164.32</v>
      </c>
      <c r="L6" t="n">
        <v>154.47</v>
      </c>
      <c r="M6" t="n">
        <v>146.54</v>
      </c>
      <c r="N6" t="n">
        <v>135.78</v>
      </c>
      <c r="O6" t="n">
        <v>112.92</v>
      </c>
      <c r="P6" t="n">
        <v>95.94</v>
      </c>
      <c r="Q6" t="n">
        <v>94.34</v>
      </c>
      <c r="R6" t="n">
        <v>83.7</v>
      </c>
      <c r="S6" t="n">
        <v>69.75</v>
      </c>
      <c r="T6" t="n">
        <v>61.06</v>
      </c>
      <c r="U6" t="n">
        <v>63.93</v>
      </c>
      <c r="V6" t="n">
        <v>59.01</v>
      </c>
      <c r="W6" t="n">
        <v>60.05</v>
      </c>
      <c r="X6" t="n">
        <v>52.5</v>
      </c>
      <c r="Y6" t="n">
        <v>53.89</v>
      </c>
      <c r="Z6" t="n">
        <v>52.91</v>
      </c>
      <c r="AA6" t="n">
        <v>53.48</v>
      </c>
      <c r="AB6" t="n">
        <v>52.85</v>
      </c>
      <c r="AC6" t="n">
        <v>50.45</v>
      </c>
      <c r="AD6" t="n">
        <v>49.2</v>
      </c>
      <c r="AE6" t="n">
        <v>41.03</v>
      </c>
      <c r="AF6" t="n">
        <v>40.4</v>
      </c>
    </row>
    <row r="7">
      <c r="A7" t="s">
        <v>20</v>
      </c>
      <c r="B7" t="s">
        <v>171</v>
      </c>
      <c r="C7" t="s">
        <v>129</v>
      </c>
      <c r="D7" t="s">
        <v>172</v>
      </c>
      <c r="E7" t="s">
        <v>130</v>
      </c>
      <c r="F7" t="n">
        <v>63.69</v>
      </c>
      <c r="G7" t="n">
        <v>66.79</v>
      </c>
      <c r="H7" t="n">
        <v>64.85</v>
      </c>
      <c r="I7" t="n">
        <v>64.36</v>
      </c>
      <c r="J7" t="n">
        <v>69.75</v>
      </c>
      <c r="K7" t="n">
        <v>67.22</v>
      </c>
      <c r="L7" t="n">
        <v>67.14</v>
      </c>
      <c r="M7" t="n">
        <v>70.4</v>
      </c>
      <c r="N7" t="n">
        <v>67.66</v>
      </c>
      <c r="O7" t="n">
        <v>66.66</v>
      </c>
      <c r="P7" t="n">
        <v>68.9</v>
      </c>
      <c r="Q7" t="n">
        <v>69.57</v>
      </c>
      <c r="R7" t="n">
        <v>70.38</v>
      </c>
      <c r="S7" t="n">
        <v>63.13</v>
      </c>
      <c r="T7" t="n">
        <v>53.46</v>
      </c>
      <c r="U7" t="n">
        <v>53.64</v>
      </c>
      <c r="V7" t="n">
        <v>49.6</v>
      </c>
      <c r="W7" t="n">
        <v>49.82</v>
      </c>
      <c r="X7" t="n">
        <v>47.41</v>
      </c>
      <c r="Y7" t="n">
        <v>53.42</v>
      </c>
      <c r="Z7" t="n">
        <v>46.55</v>
      </c>
      <c r="AA7" t="n">
        <v>50.61</v>
      </c>
      <c r="AB7" t="n">
        <v>52.33</v>
      </c>
      <c r="AC7" t="n">
        <v>54</v>
      </c>
      <c r="AD7" t="n">
        <v>54.07</v>
      </c>
      <c r="AE7" t="n">
        <v>50.04</v>
      </c>
      <c r="AF7" t="n">
        <v>56.61</v>
      </c>
    </row>
    <row r="8">
      <c r="A8" t="s">
        <v>20</v>
      </c>
      <c r="B8" t="s">
        <v>173</v>
      </c>
      <c r="C8" t="s">
        <v>129</v>
      </c>
      <c r="D8" t="s">
        <v>174</v>
      </c>
      <c r="E8" t="s">
        <v>130</v>
      </c>
      <c r="F8" t="n">
        <v>7.66</v>
      </c>
      <c r="G8" t="n">
        <v>6.11</v>
      </c>
      <c r="H8" t="n">
        <v>5.3</v>
      </c>
      <c r="I8" t="n">
        <v>5.78</v>
      </c>
      <c r="J8" t="n">
        <v>5.69</v>
      </c>
      <c r="K8" t="n">
        <v>7.17</v>
      </c>
      <c r="L8" t="n">
        <v>7.06</v>
      </c>
      <c r="M8" t="n">
        <v>7.05</v>
      </c>
      <c r="N8" t="n">
        <v>6.86</v>
      </c>
      <c r="O8" t="n">
        <v>5.01</v>
      </c>
      <c r="P8" t="n">
        <v>6.08</v>
      </c>
      <c r="Q8" t="n">
        <v>6.51</v>
      </c>
      <c r="R8" t="n">
        <v>6.66</v>
      </c>
      <c r="S8" t="n">
        <v>8.46</v>
      </c>
      <c r="T8" t="n">
        <v>7.11</v>
      </c>
      <c r="U8" t="n">
        <v>6.87</v>
      </c>
      <c r="V8" t="n">
        <v>6.74</v>
      </c>
      <c r="W8" t="n">
        <v>6.92</v>
      </c>
      <c r="X8" t="n">
        <v>6.23</v>
      </c>
      <c r="Y8" t="n">
        <v>7.58</v>
      </c>
      <c r="Z8" t="n">
        <v>7.31</v>
      </c>
      <c r="AA8" t="n">
        <v>7.03</v>
      </c>
      <c r="AB8" t="n">
        <v>7.23</v>
      </c>
      <c r="AC8" t="n">
        <v>7.8</v>
      </c>
      <c r="AD8" t="n">
        <v>7.21</v>
      </c>
      <c r="AE8" t="n">
        <v>6.53</v>
      </c>
      <c r="AF8" t="n">
        <v>6.79</v>
      </c>
    </row>
    <row r="9">
      <c r="A9" t="s">
        <v>20</v>
      </c>
      <c r="B9" t="s">
        <v>175</v>
      </c>
      <c r="C9" t="s">
        <v>129</v>
      </c>
      <c r="D9" t="s">
        <v>176</v>
      </c>
      <c r="E9" t="s">
        <v>130</v>
      </c>
      <c r="F9" t="n">
        <v>29.19</v>
      </c>
      <c r="G9" t="n">
        <v>29.13</v>
      </c>
      <c r="H9" t="n">
        <v>26.91</v>
      </c>
      <c r="I9" t="n">
        <v>27.83</v>
      </c>
      <c r="J9" t="n">
        <v>27.88</v>
      </c>
      <c r="K9" t="n">
        <v>24.54</v>
      </c>
      <c r="L9" t="n">
        <v>22.22</v>
      </c>
      <c r="M9" t="n">
        <v>21.56</v>
      </c>
      <c r="N9" t="n">
        <v>22.04</v>
      </c>
      <c r="O9" t="n">
        <v>23.53</v>
      </c>
      <c r="P9" t="n">
        <v>23.72</v>
      </c>
      <c r="Q9" t="n">
        <v>20.63</v>
      </c>
      <c r="R9" t="n">
        <v>20.63</v>
      </c>
      <c r="S9" t="n">
        <v>22.69</v>
      </c>
      <c r="T9" t="n">
        <v>18.26</v>
      </c>
      <c r="U9" t="n">
        <v>21.55</v>
      </c>
      <c r="V9" t="n">
        <v>18.79</v>
      </c>
      <c r="W9" t="n">
        <v>18.04</v>
      </c>
      <c r="X9" t="n">
        <v>15.14</v>
      </c>
      <c r="Y9" t="n">
        <v>15.43</v>
      </c>
      <c r="Z9" t="n">
        <v>16.21</v>
      </c>
      <c r="AA9" t="n">
        <v>15.86</v>
      </c>
      <c r="AB9" t="n">
        <v>17.78</v>
      </c>
      <c r="AC9" t="n">
        <v>18.02</v>
      </c>
      <c r="AD9" t="n">
        <v>19.06</v>
      </c>
      <c r="AE9" t="n">
        <v>20.66</v>
      </c>
      <c r="AF9" t="n">
        <v>21.31</v>
      </c>
    </row>
    <row r="10">
      <c r="A10" t="s">
        <v>20</v>
      </c>
      <c r="B10" t="s">
        <v>177</v>
      </c>
      <c r="C10" t="s">
        <v>129</v>
      </c>
      <c r="D10" t="s">
        <v>178</v>
      </c>
      <c r="E10" t="s">
        <v>130</v>
      </c>
      <c r="F10" t="n">
        <v>66.2</v>
      </c>
      <c r="G10" t="n">
        <v>66.07</v>
      </c>
      <c r="H10" t="n">
        <v>60.99</v>
      </c>
      <c r="I10" t="n">
        <v>63.12</v>
      </c>
      <c r="J10" t="n">
        <v>62.91</v>
      </c>
      <c r="K10" t="n">
        <v>55.4</v>
      </c>
      <c r="L10" t="n">
        <v>49.4</v>
      </c>
      <c r="M10" t="n">
        <v>47.97</v>
      </c>
      <c r="N10" t="n">
        <v>49.75</v>
      </c>
      <c r="O10" t="n">
        <v>52.47</v>
      </c>
      <c r="P10" t="n">
        <v>53.77</v>
      </c>
      <c r="Q10" t="n">
        <v>46.79</v>
      </c>
      <c r="R10" t="n">
        <v>46.85</v>
      </c>
      <c r="S10" t="n">
        <v>45.55</v>
      </c>
      <c r="T10" t="n">
        <v>43.47</v>
      </c>
      <c r="U10" t="n">
        <v>44.68</v>
      </c>
      <c r="V10" t="n">
        <v>43.73</v>
      </c>
      <c r="W10" t="n">
        <v>43.48</v>
      </c>
      <c r="X10" t="n">
        <v>37.47</v>
      </c>
      <c r="Y10" t="n">
        <v>36.98</v>
      </c>
      <c r="Z10" t="n">
        <v>36.9</v>
      </c>
      <c r="AA10" t="n">
        <v>35.55</v>
      </c>
      <c r="AB10" t="n">
        <v>39.87</v>
      </c>
      <c r="AC10" t="n">
        <v>40.33</v>
      </c>
      <c r="AD10" t="n">
        <v>39.96</v>
      </c>
      <c r="AE10" t="n">
        <v>46.65</v>
      </c>
      <c r="AF10" t="n">
        <v>47.94</v>
      </c>
    </row>
    <row r="11">
      <c r="A11" t="s">
        <v>20</v>
      </c>
      <c r="B11" t="s">
        <v>179</v>
      </c>
      <c r="C11" t="s">
        <v>129</v>
      </c>
      <c r="D11" t="s">
        <v>180</v>
      </c>
      <c r="E11" t="s">
        <v>130</v>
      </c>
      <c r="F11" t="n">
        <v>37.01</v>
      </c>
      <c r="G11" t="n">
        <v>36.94</v>
      </c>
      <c r="H11" t="n">
        <v>34.08</v>
      </c>
      <c r="I11" t="n">
        <v>35.29</v>
      </c>
      <c r="J11" t="n">
        <v>35.03</v>
      </c>
      <c r="K11" t="n">
        <v>30.86</v>
      </c>
      <c r="L11" t="n">
        <v>27.18</v>
      </c>
      <c r="M11" t="n">
        <v>26.41</v>
      </c>
      <c r="N11" t="n">
        <v>27.71</v>
      </c>
      <c r="O11" t="n">
        <v>28.94</v>
      </c>
      <c r="P11" t="n">
        <v>30.05</v>
      </c>
      <c r="Q11" t="n">
        <v>26.16</v>
      </c>
      <c r="R11" t="n">
        <v>26.22</v>
      </c>
      <c r="S11" t="n">
        <v>22.86</v>
      </c>
      <c r="T11" t="n">
        <v>25.21</v>
      </c>
      <c r="U11" t="n">
        <v>23.13</v>
      </c>
      <c r="V11" t="n">
        <v>24.94</v>
      </c>
      <c r="W11" t="n">
        <v>25.44</v>
      </c>
      <c r="X11" t="n">
        <v>22.33</v>
      </c>
      <c r="Y11" t="n">
        <v>21.55</v>
      </c>
      <c r="Z11" t="n">
        <v>20.69</v>
      </c>
      <c r="AA11" t="n">
        <v>19.69</v>
      </c>
      <c r="AB11" t="n">
        <v>22.09</v>
      </c>
      <c r="AC11" t="n">
        <v>22.31</v>
      </c>
      <c r="AD11" t="n">
        <v>20.9</v>
      </c>
      <c r="AE11" t="n">
        <v>25.99</v>
      </c>
      <c r="AF11" t="n">
        <v>26.63</v>
      </c>
    </row>
    <row r="12">
      <c r="A12" t="s">
        <v>20</v>
      </c>
      <c r="B12" t="s">
        <v>181</v>
      </c>
      <c r="C12" t="s">
        <v>129</v>
      </c>
      <c r="D12" t="s">
        <v>182</v>
      </c>
      <c r="E12" t="s">
        <v>130</v>
      </c>
      <c r="F12" t="n">
        <v>62.98</v>
      </c>
      <c r="G12" t="n">
        <v>61.76</v>
      </c>
      <c r="H12" t="n">
        <v>64.49</v>
      </c>
      <c r="I12" t="n">
        <v>64.64</v>
      </c>
      <c r="J12" t="n">
        <v>70.3</v>
      </c>
      <c r="K12" t="n">
        <v>79.51</v>
      </c>
      <c r="L12" t="n">
        <v>79.29</v>
      </c>
      <c r="M12" t="n">
        <v>78.69</v>
      </c>
      <c r="N12" t="n">
        <v>78.29</v>
      </c>
      <c r="O12" t="n">
        <v>72.48</v>
      </c>
      <c r="P12" t="n">
        <v>72.9</v>
      </c>
      <c r="Q12" t="n">
        <v>75.93</v>
      </c>
      <c r="R12" t="n">
        <v>73.54</v>
      </c>
      <c r="S12" t="n">
        <v>82.51</v>
      </c>
      <c r="T12" t="n">
        <v>73.25</v>
      </c>
      <c r="U12" t="n">
        <v>68.74</v>
      </c>
      <c r="V12" t="n">
        <v>73.26</v>
      </c>
      <c r="W12" t="n">
        <v>71.83</v>
      </c>
      <c r="X12" t="n">
        <v>64.35</v>
      </c>
      <c r="Y12" t="n">
        <v>70.1</v>
      </c>
      <c r="Z12" t="n">
        <v>74.14</v>
      </c>
      <c r="AA12" t="n">
        <v>75.43</v>
      </c>
      <c r="AB12" t="n">
        <v>80.43</v>
      </c>
      <c r="AC12" t="n">
        <v>82.75</v>
      </c>
      <c r="AD12" t="n">
        <v>82.88</v>
      </c>
      <c r="AE12" t="n">
        <v>77.12</v>
      </c>
      <c r="AF12" t="n">
        <v>82.45</v>
      </c>
    </row>
    <row r="13">
      <c r="A13" t="s">
        <v>20</v>
      </c>
      <c r="B13" t="s">
        <v>183</v>
      </c>
      <c r="C13" t="s">
        <v>129</v>
      </c>
      <c r="D13" t="s">
        <v>184</v>
      </c>
      <c r="E13" t="s">
        <v>130</v>
      </c>
      <c r="F13" t="n">
        <v>92.49</v>
      </c>
      <c r="G13" t="n">
        <v>87.92</v>
      </c>
      <c r="H13" t="n">
        <v>94.51</v>
      </c>
      <c r="I13" t="n">
        <v>94.92</v>
      </c>
      <c r="J13" t="n">
        <v>99.8</v>
      </c>
      <c r="K13" t="n">
        <v>97.95</v>
      </c>
      <c r="L13" t="n">
        <v>101.14</v>
      </c>
      <c r="M13" t="n">
        <v>106.3</v>
      </c>
      <c r="N13" t="n">
        <v>109.39</v>
      </c>
      <c r="O13" t="n">
        <v>103.07</v>
      </c>
      <c r="P13" t="n">
        <v>104.33</v>
      </c>
      <c r="Q13" t="n">
        <v>107.47</v>
      </c>
      <c r="R13" t="n">
        <v>109.52</v>
      </c>
      <c r="S13" t="n">
        <v>98.44</v>
      </c>
      <c r="T13" t="n">
        <v>87.38</v>
      </c>
      <c r="U13" t="n">
        <v>87.05</v>
      </c>
      <c r="V13" t="n">
        <v>90.28</v>
      </c>
      <c r="W13" t="n">
        <v>86.52</v>
      </c>
      <c r="X13" t="n">
        <v>85.33</v>
      </c>
      <c r="Y13" t="n">
        <v>86.81</v>
      </c>
      <c r="Z13" t="n">
        <v>89.4</v>
      </c>
      <c r="AA13" t="n">
        <v>95.9</v>
      </c>
      <c r="AB13" t="n">
        <v>97.76</v>
      </c>
      <c r="AC13" t="n">
        <v>103.39</v>
      </c>
      <c r="AD13" t="n">
        <v>101.72</v>
      </c>
      <c r="AE13" t="n">
        <v>94.86</v>
      </c>
      <c r="AF13" t="n">
        <v>96.48</v>
      </c>
    </row>
    <row r="14">
      <c r="A14" t="s">
        <v>20</v>
      </c>
      <c r="B14" t="s">
        <v>185</v>
      </c>
      <c r="C14" t="s">
        <v>129</v>
      </c>
      <c r="D14" t="s">
        <v>186</v>
      </c>
      <c r="E14" t="s">
        <v>130</v>
      </c>
      <c r="F14" t="n">
        <v>39.1</v>
      </c>
      <c r="G14" t="n">
        <v>44.19</v>
      </c>
      <c r="H14" t="n">
        <v>51.99</v>
      </c>
      <c r="I14" t="n">
        <v>63.31</v>
      </c>
      <c r="J14" t="n">
        <v>65.13</v>
      </c>
      <c r="K14" t="n">
        <v>84.96</v>
      </c>
      <c r="L14" t="n">
        <v>96.11</v>
      </c>
      <c r="M14" t="n">
        <v>98.49</v>
      </c>
      <c r="N14" t="n">
        <v>96.83</v>
      </c>
      <c r="O14" t="n">
        <v>109.74</v>
      </c>
      <c r="P14" t="n">
        <v>110.04</v>
      </c>
      <c r="Q14" t="n">
        <v>97.72</v>
      </c>
      <c r="R14" t="n">
        <v>95.26</v>
      </c>
      <c r="S14" t="n">
        <v>80.85</v>
      </c>
      <c r="T14" t="n">
        <v>81.81</v>
      </c>
      <c r="U14" t="n">
        <v>78.64</v>
      </c>
      <c r="V14" t="n">
        <v>82.89</v>
      </c>
      <c r="W14" t="n">
        <v>86.3</v>
      </c>
      <c r="X14" t="n">
        <v>77.73</v>
      </c>
      <c r="Y14" t="n">
        <v>78</v>
      </c>
      <c r="Z14" t="n">
        <v>69.43</v>
      </c>
      <c r="AA14" t="n">
        <v>72.39</v>
      </c>
      <c r="AB14" t="n">
        <v>71.8</v>
      </c>
      <c r="AC14" t="n">
        <v>73.72</v>
      </c>
      <c r="AD14" t="n">
        <v>72.03</v>
      </c>
      <c r="AE14" t="n">
        <v>71.74</v>
      </c>
      <c r="AF14" t="n">
        <v>66.81</v>
      </c>
    </row>
    <row r="15">
      <c r="A15" t="s">
        <v>20</v>
      </c>
      <c r="B15" t="s">
        <v>187</v>
      </c>
      <c r="C15" t="s">
        <v>129</v>
      </c>
      <c r="D15" t="s">
        <v>188</v>
      </c>
      <c r="E15" t="s">
        <v>130</v>
      </c>
      <c r="F15" t="n">
        <v>89.81</v>
      </c>
      <c r="G15" t="n">
        <v>94.76</v>
      </c>
      <c r="H15" t="n">
        <v>102.9</v>
      </c>
      <c r="I15" t="n">
        <v>119.5</v>
      </c>
      <c r="J15" t="n">
        <v>123.41</v>
      </c>
      <c r="K15" t="n">
        <v>148.91</v>
      </c>
      <c r="L15" t="n">
        <v>162.4</v>
      </c>
      <c r="M15" t="n">
        <v>156.8</v>
      </c>
      <c r="N15" t="n">
        <v>160.27</v>
      </c>
      <c r="O15" t="n">
        <v>171.94</v>
      </c>
      <c r="P15" t="n">
        <v>173.8</v>
      </c>
      <c r="Q15" t="n">
        <v>162.58</v>
      </c>
      <c r="R15" t="n">
        <v>161.91</v>
      </c>
      <c r="S15" t="n">
        <v>153.54</v>
      </c>
      <c r="T15" t="n">
        <v>130.5</v>
      </c>
      <c r="U15" t="n">
        <v>130.77</v>
      </c>
      <c r="V15" t="n">
        <v>132.17</v>
      </c>
      <c r="W15" t="n">
        <v>132.82</v>
      </c>
      <c r="X15" t="n">
        <v>129.85</v>
      </c>
      <c r="Y15" t="n">
        <v>122.29</v>
      </c>
      <c r="Z15" t="n">
        <v>112.37</v>
      </c>
      <c r="AA15" t="n">
        <v>121.83</v>
      </c>
      <c r="AB15" t="n">
        <v>125.33</v>
      </c>
      <c r="AC15" t="n">
        <v>133.37</v>
      </c>
      <c r="AD15" t="n">
        <v>133.45</v>
      </c>
      <c r="AE15" t="n">
        <v>127.06</v>
      </c>
      <c r="AF15" t="n">
        <v>126.13</v>
      </c>
    </row>
    <row r="16">
      <c r="A16" t="s">
        <v>20</v>
      </c>
      <c r="B16" t="s">
        <v>189</v>
      </c>
      <c r="C16" t="s">
        <v>129</v>
      </c>
      <c r="D16" t="s">
        <v>190</v>
      </c>
      <c r="E16" t="s">
        <v>130</v>
      </c>
      <c r="F16" t="n">
        <v>50.71</v>
      </c>
      <c r="G16" t="n">
        <v>50.57</v>
      </c>
      <c r="H16" t="n">
        <v>50.91</v>
      </c>
      <c r="I16" t="n">
        <v>56.19</v>
      </c>
      <c r="J16" t="n">
        <v>58.28</v>
      </c>
      <c r="K16" t="n">
        <v>63.95</v>
      </c>
      <c r="L16" t="n">
        <v>66.29</v>
      </c>
      <c r="M16" t="n">
        <v>58.31</v>
      </c>
      <c r="N16" t="n">
        <v>63.44</v>
      </c>
      <c r="O16" t="n">
        <v>62.2</v>
      </c>
      <c r="P16" t="n">
        <v>63.76</v>
      </c>
      <c r="Q16" t="n">
        <v>64.86</v>
      </c>
      <c r="R16" t="n">
        <v>66.65</v>
      </c>
      <c r="S16" t="n">
        <v>72.69</v>
      </c>
      <c r="T16" t="n">
        <v>48.69</v>
      </c>
      <c r="U16" t="n">
        <v>52.13</v>
      </c>
      <c r="V16" t="n">
        <v>49.28</v>
      </c>
      <c r="W16" t="n">
        <v>46.52</v>
      </c>
      <c r="X16" t="n">
        <v>52.12</v>
      </c>
      <c r="Y16" t="n">
        <v>44.29</v>
      </c>
      <c r="Z16" t="n">
        <v>42.94</v>
      </c>
      <c r="AA16" t="n">
        <v>49.44</v>
      </c>
      <c r="AB16" t="n">
        <v>53.53</v>
      </c>
      <c r="AC16" t="n">
        <v>59.65</v>
      </c>
      <c r="AD16" t="n">
        <v>61.42</v>
      </c>
      <c r="AE16" t="n">
        <v>55.32</v>
      </c>
      <c r="AF16" t="n">
        <v>59.32</v>
      </c>
    </row>
    <row r="17">
      <c r="A17" t="s">
        <v>20</v>
      </c>
      <c r="B17" t="s">
        <v>191</v>
      </c>
      <c r="C17" t="s">
        <v>129</v>
      </c>
      <c r="D17" t="s">
        <v>192</v>
      </c>
      <c r="E17" t="s">
        <v>130</v>
      </c>
      <c r="F17" t="n">
        <v>57.04</v>
      </c>
      <c r="G17" t="n">
        <v>51.8</v>
      </c>
      <c r="H17" t="n">
        <v>54.4</v>
      </c>
      <c r="I17" t="n">
        <v>54.1</v>
      </c>
      <c r="J17" t="n">
        <v>53.48</v>
      </c>
      <c r="K17" t="n">
        <v>45.99</v>
      </c>
      <c r="L17" t="n">
        <v>47.16</v>
      </c>
      <c r="M17" t="n">
        <v>44.81</v>
      </c>
      <c r="N17" t="n">
        <v>45.13</v>
      </c>
      <c r="O17" t="n">
        <v>42.45</v>
      </c>
      <c r="P17" t="n">
        <v>42.44</v>
      </c>
      <c r="Q17" t="n">
        <v>44.67</v>
      </c>
      <c r="R17" t="n">
        <v>47.89</v>
      </c>
      <c r="S17" t="n">
        <v>50.14</v>
      </c>
      <c r="T17" t="n">
        <v>50.44</v>
      </c>
      <c r="U17" t="n">
        <v>48.28</v>
      </c>
      <c r="V17" t="n">
        <v>49.33</v>
      </c>
      <c r="W17" t="n">
        <v>44.71</v>
      </c>
      <c r="X17" t="n">
        <v>50.81</v>
      </c>
      <c r="Y17" t="n">
        <v>57.43</v>
      </c>
      <c r="Z17" t="n">
        <v>62.13</v>
      </c>
      <c r="AA17" t="n">
        <v>59.15</v>
      </c>
      <c r="AB17" t="n">
        <v>63.37</v>
      </c>
      <c r="AC17" t="n">
        <v>61.93</v>
      </c>
      <c r="AD17" t="n">
        <v>61.01</v>
      </c>
      <c r="AE17" t="n">
        <v>64.54</v>
      </c>
      <c r="AF17" t="n">
        <v>63.75</v>
      </c>
    </row>
    <row r="18">
      <c r="A18" t="s">
        <v>20</v>
      </c>
      <c r="B18" t="s">
        <v>193</v>
      </c>
      <c r="C18" t="s">
        <v>129</v>
      </c>
      <c r="D18" t="s">
        <v>194</v>
      </c>
      <c r="E18" t="s">
        <v>130</v>
      </c>
      <c r="F18" t="n">
        <v>39.96</v>
      </c>
      <c r="G18" t="n">
        <v>47.16</v>
      </c>
      <c r="H18" t="n">
        <v>47.9</v>
      </c>
      <c r="I18" t="n">
        <v>58.79</v>
      </c>
      <c r="J18" t="n">
        <v>64.02</v>
      </c>
      <c r="K18" t="n">
        <v>63.99</v>
      </c>
      <c r="L18" t="n">
        <v>68.09</v>
      </c>
      <c r="M18" t="n">
        <v>73.04</v>
      </c>
      <c r="N18" t="n">
        <v>75.94</v>
      </c>
      <c r="O18" t="n">
        <v>75.8</v>
      </c>
      <c r="P18" t="n">
        <v>84.16</v>
      </c>
      <c r="Q18" t="n">
        <v>84.36</v>
      </c>
      <c r="R18" t="n">
        <v>95.69</v>
      </c>
      <c r="S18" t="n">
        <v>90.5</v>
      </c>
      <c r="T18" t="n">
        <v>95.3</v>
      </c>
      <c r="U18" t="n">
        <v>74.34</v>
      </c>
      <c r="V18" t="n">
        <v>75.82</v>
      </c>
      <c r="W18" t="n">
        <v>98.19</v>
      </c>
      <c r="X18" t="n">
        <v>112.13</v>
      </c>
      <c r="Y18" t="n">
        <v>101.67</v>
      </c>
      <c r="Z18" t="n">
        <v>97.88</v>
      </c>
      <c r="AA18" t="n">
        <v>104.99</v>
      </c>
      <c r="AB18" t="n">
        <v>116.69</v>
      </c>
      <c r="AC18" t="n">
        <v>124.49</v>
      </c>
      <c r="AD18" t="n">
        <v>128.14</v>
      </c>
      <c r="AE18" t="n">
        <v>122.74</v>
      </c>
      <c r="AF18" t="n">
        <v>116.96</v>
      </c>
    </row>
    <row r="19">
      <c r="A19" t="s">
        <v>20</v>
      </c>
      <c r="B19" t="s">
        <v>195</v>
      </c>
      <c r="C19" t="s">
        <v>129</v>
      </c>
      <c r="D19" t="s">
        <v>196</v>
      </c>
      <c r="E19" t="s">
        <v>130</v>
      </c>
      <c r="F19" t="n">
        <v>58.93</v>
      </c>
      <c r="G19" t="n">
        <v>53.53</v>
      </c>
      <c r="H19" t="n">
        <v>57.28</v>
      </c>
      <c r="I19" t="n">
        <v>58.85</v>
      </c>
      <c r="J19" t="n">
        <v>60.84</v>
      </c>
      <c r="K19" t="n">
        <v>67.09</v>
      </c>
      <c r="L19" t="n">
        <v>64.41</v>
      </c>
      <c r="M19" t="n">
        <v>62.42</v>
      </c>
      <c r="N19" t="n">
        <v>66.45</v>
      </c>
      <c r="O19" t="n">
        <v>66.98</v>
      </c>
      <c r="P19" t="n">
        <v>63.05</v>
      </c>
      <c r="Q19" t="n">
        <v>62.21</v>
      </c>
      <c r="R19" t="n">
        <v>60.37</v>
      </c>
      <c r="S19" t="n">
        <v>62.14</v>
      </c>
      <c r="T19" t="n">
        <v>60.02</v>
      </c>
      <c r="U19" t="n">
        <v>61.02</v>
      </c>
      <c r="V19" t="n">
        <v>58.07</v>
      </c>
      <c r="W19" t="n">
        <v>58.69</v>
      </c>
      <c r="X19" t="n">
        <v>57.52</v>
      </c>
      <c r="Y19" t="n">
        <v>63.96</v>
      </c>
      <c r="Z19" t="n">
        <v>67.45</v>
      </c>
      <c r="AA19" t="n">
        <v>71.66</v>
      </c>
      <c r="AB19" t="n">
        <v>76.67</v>
      </c>
      <c r="AC19" t="n">
        <v>74.31</v>
      </c>
      <c r="AD19" t="n">
        <v>75.86</v>
      </c>
      <c r="AE19" t="n">
        <v>73.33</v>
      </c>
      <c r="AF19" t="n">
        <v>76.07</v>
      </c>
    </row>
    <row r="20">
      <c r="A20" t="s">
        <v>20</v>
      </c>
      <c r="B20" t="s">
        <v>197</v>
      </c>
      <c r="C20" t="s">
        <v>129</v>
      </c>
      <c r="D20" t="s">
        <v>198</v>
      </c>
      <c r="E20" t="s">
        <v>130</v>
      </c>
      <c r="F20" t="n">
        <v>62.76</v>
      </c>
      <c r="G20" t="n">
        <v>60.49</v>
      </c>
      <c r="H20" t="n">
        <v>65.08</v>
      </c>
      <c r="I20" t="n">
        <v>62.49</v>
      </c>
      <c r="J20" t="n">
        <v>60.75</v>
      </c>
      <c r="K20" t="n">
        <v>54.35</v>
      </c>
      <c r="L20" t="n">
        <v>50.27</v>
      </c>
      <c r="M20" t="n">
        <v>47.03</v>
      </c>
      <c r="N20" t="n">
        <v>42.73</v>
      </c>
      <c r="O20" t="n">
        <v>40.84</v>
      </c>
      <c r="P20" t="n">
        <v>39.68</v>
      </c>
      <c r="Q20" t="n">
        <v>41.03</v>
      </c>
      <c r="R20" t="n">
        <v>37.46</v>
      </c>
      <c r="S20" t="n">
        <v>35.9</v>
      </c>
      <c r="T20" t="n">
        <v>33.64</v>
      </c>
      <c r="U20" t="n">
        <v>32.92</v>
      </c>
      <c r="V20" t="n">
        <v>29.89</v>
      </c>
      <c r="W20" t="n">
        <v>36.92</v>
      </c>
      <c r="X20" t="n">
        <v>32.34</v>
      </c>
      <c r="Y20" t="n">
        <v>31.38</v>
      </c>
      <c r="Z20" t="n">
        <v>29.67</v>
      </c>
      <c r="AA20" t="n">
        <v>28.6</v>
      </c>
      <c r="AB20" t="n">
        <v>30.49</v>
      </c>
      <c r="AC20" t="n">
        <v>30.95</v>
      </c>
      <c r="AD20" t="n">
        <v>31.58</v>
      </c>
      <c r="AE20" t="n">
        <v>31.44</v>
      </c>
      <c r="AF20" t="n">
        <v>33.96</v>
      </c>
    </row>
    <row r="21">
      <c r="A21" t="s">
        <v>20</v>
      </c>
      <c r="B21" t="s">
        <v>199</v>
      </c>
      <c r="C21" t="s">
        <v>129</v>
      </c>
      <c r="D21" t="s">
        <v>200</v>
      </c>
      <c r="E21" t="s">
        <v>130</v>
      </c>
      <c r="F21" t="n">
        <v>121.59</v>
      </c>
      <c r="G21" t="n">
        <v>111.9</v>
      </c>
      <c r="H21" t="n">
        <v>122.01</v>
      </c>
      <c r="I21" t="n">
        <v>120.7</v>
      </c>
      <c r="J21" t="n">
        <v>112.51</v>
      </c>
      <c r="K21" t="n">
        <v>105.84</v>
      </c>
      <c r="L21" t="n">
        <v>105.23</v>
      </c>
      <c r="M21" t="n">
        <v>99.05</v>
      </c>
      <c r="N21" t="n">
        <v>93.72</v>
      </c>
      <c r="O21" t="n">
        <v>89.15</v>
      </c>
      <c r="P21" t="n">
        <v>91.35</v>
      </c>
      <c r="Q21" t="n">
        <v>93.39</v>
      </c>
      <c r="R21" t="n">
        <v>85.22</v>
      </c>
      <c r="S21" t="n">
        <v>85.52</v>
      </c>
      <c r="T21" t="n">
        <v>79.63</v>
      </c>
      <c r="U21" t="n">
        <v>80.5</v>
      </c>
      <c r="V21" t="n">
        <v>75.52</v>
      </c>
      <c r="W21" t="n">
        <v>82.55</v>
      </c>
      <c r="X21" t="n">
        <v>78.36</v>
      </c>
      <c r="Y21" t="n">
        <v>79.54</v>
      </c>
      <c r="Z21" t="n">
        <v>76.67</v>
      </c>
      <c r="AA21" t="n">
        <v>74.68</v>
      </c>
      <c r="AB21" t="n">
        <v>77.93</v>
      </c>
      <c r="AC21" t="n">
        <v>78.44</v>
      </c>
      <c r="AD21" t="n">
        <v>79.35</v>
      </c>
      <c r="AE21" t="n">
        <v>75.68</v>
      </c>
      <c r="AF21" t="n">
        <v>77.47</v>
      </c>
    </row>
    <row r="22">
      <c r="A22" t="s">
        <v>20</v>
      </c>
      <c r="B22" t="s">
        <v>201</v>
      </c>
      <c r="C22" t="s">
        <v>129</v>
      </c>
      <c r="D22" t="s">
        <v>202</v>
      </c>
      <c r="E22" t="s">
        <v>130</v>
      </c>
      <c r="F22" t="n">
        <v>58.83</v>
      </c>
      <c r="G22" t="n">
        <v>51.41</v>
      </c>
      <c r="H22" t="n">
        <v>56.93</v>
      </c>
      <c r="I22" t="n">
        <v>58.21</v>
      </c>
      <c r="J22" t="n">
        <v>51.76</v>
      </c>
      <c r="K22" t="n">
        <v>51.49</v>
      </c>
      <c r="L22" t="n">
        <v>54.96</v>
      </c>
      <c r="M22" t="n">
        <v>52.02</v>
      </c>
      <c r="N22" t="n">
        <v>50.99</v>
      </c>
      <c r="O22" t="n">
        <v>48.31</v>
      </c>
      <c r="P22" t="n">
        <v>51.67</v>
      </c>
      <c r="Q22" t="n">
        <v>52.36</v>
      </c>
      <c r="R22" t="n">
        <v>47.76</v>
      </c>
      <c r="S22" t="n">
        <v>49.62</v>
      </c>
      <c r="T22" t="n">
        <v>45.99</v>
      </c>
      <c r="U22" t="n">
        <v>47.58</v>
      </c>
      <c r="V22" t="n">
        <v>45.63</v>
      </c>
      <c r="W22" t="n">
        <v>45.63</v>
      </c>
      <c r="X22" t="n">
        <v>46.02</v>
      </c>
      <c r="Y22" t="n">
        <v>48.16</v>
      </c>
      <c r="Z22" t="n">
        <v>47</v>
      </c>
      <c r="AA22" t="n">
        <v>46.08</v>
      </c>
      <c r="AB22" t="n">
        <v>47.44</v>
      </c>
      <c r="AC22" t="n">
        <v>47.49</v>
      </c>
      <c r="AD22" t="n">
        <v>47.77</v>
      </c>
      <c r="AE22" t="n">
        <v>44.24</v>
      </c>
      <c r="AF22" t="n">
        <v>43.51</v>
      </c>
    </row>
    <row r="23">
      <c r="A23" t="s">
        <v>20</v>
      </c>
      <c r="B23" t="s">
        <v>203</v>
      </c>
      <c r="C23" t="s">
        <v>129</v>
      </c>
      <c r="D23" t="s">
        <v>204</v>
      </c>
      <c r="E23" t="s">
        <v>130</v>
      </c>
      <c r="F23" t="n">
        <v>183.37</v>
      </c>
      <c r="G23" t="n">
        <v>182.78</v>
      </c>
      <c r="H23" t="n">
        <v>185.89</v>
      </c>
      <c r="I23" t="n">
        <v>191.31</v>
      </c>
      <c r="J23" t="n">
        <v>202.78</v>
      </c>
      <c r="K23" t="n">
        <v>204.48</v>
      </c>
      <c r="L23" t="n">
        <v>205.15</v>
      </c>
      <c r="M23" t="n">
        <v>210.95</v>
      </c>
      <c r="N23" t="n">
        <v>244.02</v>
      </c>
      <c r="O23" t="n">
        <v>247.3</v>
      </c>
      <c r="P23" t="n">
        <v>258.87</v>
      </c>
      <c r="Q23" t="n">
        <v>263.84</v>
      </c>
      <c r="R23" t="n">
        <v>266.9</v>
      </c>
      <c r="S23" t="n">
        <v>260.6</v>
      </c>
      <c r="T23" t="n">
        <v>243.92</v>
      </c>
      <c r="U23" t="n">
        <v>222.85</v>
      </c>
      <c r="V23" t="n">
        <v>215.95</v>
      </c>
      <c r="W23" t="n">
        <v>223.71</v>
      </c>
      <c r="X23" t="n">
        <v>225.64</v>
      </c>
      <c r="Y23" t="n">
        <v>234.33</v>
      </c>
      <c r="Z23" t="n">
        <v>230.34</v>
      </c>
      <c r="AA23" t="n">
        <v>247.78</v>
      </c>
      <c r="AB23" t="n">
        <v>271.34</v>
      </c>
      <c r="AC23" t="n">
        <v>298.8</v>
      </c>
      <c r="AD23" t="n">
        <v>311.16</v>
      </c>
      <c r="AE23" t="n">
        <v>320.05</v>
      </c>
      <c r="AF23" t="n">
        <v>333.93</v>
      </c>
    </row>
    <row r="24">
      <c r="A24" t="s">
        <v>20</v>
      </c>
      <c r="B24" t="s">
        <v>205</v>
      </c>
      <c r="C24" t="s">
        <v>129</v>
      </c>
      <c r="D24" t="s">
        <v>206</v>
      </c>
      <c r="E24" t="s">
        <v>130</v>
      </c>
      <c r="F24" t="n">
        <v>365.29</v>
      </c>
      <c r="G24" t="n">
        <v>390.91</v>
      </c>
      <c r="H24" t="n">
        <v>413.23</v>
      </c>
      <c r="I24" t="n">
        <v>397.29</v>
      </c>
      <c r="J24" t="n">
        <v>425.52</v>
      </c>
      <c r="K24" t="n">
        <v>458.78</v>
      </c>
      <c r="L24" t="n">
        <v>467.32</v>
      </c>
      <c r="M24" t="n">
        <v>469.16</v>
      </c>
      <c r="N24" t="n">
        <v>476.46</v>
      </c>
      <c r="O24" t="n">
        <v>483.79</v>
      </c>
      <c r="P24" t="n">
        <v>509.91</v>
      </c>
      <c r="Q24" t="n">
        <v>516.7</v>
      </c>
      <c r="R24" t="n">
        <v>539.11</v>
      </c>
      <c r="S24" t="n">
        <v>539.59</v>
      </c>
      <c r="T24" t="n">
        <v>531.81</v>
      </c>
      <c r="U24" t="n">
        <v>526.53</v>
      </c>
      <c r="V24" t="n">
        <v>514.76</v>
      </c>
      <c r="W24" t="n">
        <v>510.17</v>
      </c>
      <c r="X24" t="n">
        <v>534.87</v>
      </c>
      <c r="Y24" t="n">
        <v>564.37</v>
      </c>
      <c r="Z24" t="n">
        <v>577.14</v>
      </c>
      <c r="AA24" t="n">
        <v>576.37</v>
      </c>
      <c r="AB24" t="n">
        <v>591.12</v>
      </c>
      <c r="AC24" t="n">
        <v>599.78</v>
      </c>
      <c r="AD24" t="n">
        <v>604.48</v>
      </c>
      <c r="AE24" t="n">
        <v>607.8</v>
      </c>
      <c r="AF24" t="n">
        <v>597.84</v>
      </c>
    </row>
    <row r="25">
      <c r="A25" t="s">
        <v>20</v>
      </c>
      <c r="B25" t="s">
        <v>207</v>
      </c>
      <c r="C25" t="s">
        <v>129</v>
      </c>
      <c r="D25" t="s">
        <v>208</v>
      </c>
      <c r="E25" t="s">
        <v>130</v>
      </c>
      <c r="F25" t="n">
        <v>34.35</v>
      </c>
      <c r="G25" t="n">
        <v>46.14</v>
      </c>
      <c r="H25" t="n">
        <v>49.15</v>
      </c>
      <c r="I25" t="n">
        <v>51.13</v>
      </c>
      <c r="J25" t="n">
        <v>55.97</v>
      </c>
      <c r="K25" t="n">
        <v>74.44</v>
      </c>
      <c r="L25" t="n">
        <v>85.09</v>
      </c>
      <c r="M25" t="n">
        <v>83.51</v>
      </c>
      <c r="N25" t="n">
        <v>84.11</v>
      </c>
      <c r="O25" t="n">
        <v>86.32</v>
      </c>
      <c r="P25" t="n">
        <v>81.6</v>
      </c>
      <c r="Q25" t="n">
        <v>78.88</v>
      </c>
      <c r="R25" t="n">
        <v>76.83</v>
      </c>
      <c r="S25" t="n">
        <v>66.69</v>
      </c>
      <c r="T25" t="n">
        <v>65.34</v>
      </c>
      <c r="U25" t="n">
        <v>63.92</v>
      </c>
      <c r="V25" t="n">
        <v>65.67</v>
      </c>
      <c r="W25" t="n">
        <v>64.55</v>
      </c>
      <c r="X25" t="n">
        <v>68.99</v>
      </c>
      <c r="Y25" t="n">
        <v>70.41</v>
      </c>
      <c r="Z25" t="n">
        <v>74.75</v>
      </c>
      <c r="AA25" t="n">
        <v>80.53</v>
      </c>
      <c r="AB25" t="n">
        <v>84.6</v>
      </c>
      <c r="AC25" t="n">
        <v>86.06</v>
      </c>
      <c r="AD25" t="n">
        <v>86.46</v>
      </c>
      <c r="AE25" t="n">
        <v>100.81</v>
      </c>
      <c r="AF25" t="n">
        <v>94.11</v>
      </c>
    </row>
    <row r="26">
      <c r="A26" t="s">
        <v>20</v>
      </c>
      <c r="B26" t="s">
        <v>209</v>
      </c>
      <c r="C26" t="s">
        <v>129</v>
      </c>
      <c r="D26" t="s">
        <v>210</v>
      </c>
      <c r="E26" t="s">
        <v>130</v>
      </c>
      <c r="F26" t="n">
        <v>63.17</v>
      </c>
      <c r="G26" t="n">
        <v>58.55</v>
      </c>
      <c r="H26" t="n">
        <v>55.41</v>
      </c>
      <c r="I26" t="n">
        <v>67.15</v>
      </c>
      <c r="J26" t="n">
        <v>70.19</v>
      </c>
      <c r="K26" t="n">
        <v>84.33</v>
      </c>
      <c r="L26" t="n">
        <v>85.9</v>
      </c>
      <c r="M26" t="n">
        <v>89.4</v>
      </c>
      <c r="N26" t="n">
        <v>97.75</v>
      </c>
      <c r="O26" t="n">
        <v>87.59</v>
      </c>
      <c r="P26" t="n">
        <v>104.38</v>
      </c>
      <c r="Q26" t="n">
        <v>109.96</v>
      </c>
      <c r="R26" t="n">
        <v>126.98</v>
      </c>
      <c r="S26" t="n">
        <v>137.81</v>
      </c>
      <c r="T26" t="n">
        <v>154.7</v>
      </c>
      <c r="U26" t="n">
        <v>152.05</v>
      </c>
      <c r="V26" t="n">
        <v>140.32</v>
      </c>
      <c r="W26" t="n">
        <v>136.06</v>
      </c>
      <c r="X26" t="n">
        <v>150.12</v>
      </c>
      <c r="Y26" t="n">
        <v>166.08</v>
      </c>
      <c r="Z26" t="n">
        <v>173.32</v>
      </c>
      <c r="AA26" t="n">
        <v>169.97</v>
      </c>
      <c r="AB26" t="n">
        <v>175.77</v>
      </c>
      <c r="AC26" t="n">
        <v>184.15</v>
      </c>
      <c r="AD26" t="n">
        <v>186.4</v>
      </c>
      <c r="AE26" t="n">
        <v>182.82</v>
      </c>
      <c r="AF26" t="n">
        <v>182.63</v>
      </c>
    </row>
    <row r="27">
      <c r="A27" t="s">
        <v>20</v>
      </c>
      <c r="B27" t="s">
        <v>211</v>
      </c>
      <c r="C27" t="s">
        <v>129</v>
      </c>
      <c r="D27" t="s">
        <v>212</v>
      </c>
      <c r="E27" t="s">
        <v>130</v>
      </c>
      <c r="F27" t="n">
        <v>267.77</v>
      </c>
      <c r="G27" t="n">
        <v>286.22</v>
      </c>
      <c r="H27" t="n">
        <v>308.67</v>
      </c>
      <c r="I27" t="n">
        <v>279.01</v>
      </c>
      <c r="J27" t="n">
        <v>299.36</v>
      </c>
      <c r="K27" t="n">
        <v>300.01</v>
      </c>
      <c r="L27" t="n">
        <v>296.33</v>
      </c>
      <c r="M27" t="n">
        <v>296.25</v>
      </c>
      <c r="N27" t="n">
        <v>294.6</v>
      </c>
      <c r="O27" t="n">
        <v>309.88</v>
      </c>
      <c r="P27" t="n">
        <v>323.93</v>
      </c>
      <c r="Q27" t="n">
        <v>327.86</v>
      </c>
      <c r="R27" t="n">
        <v>335.3</v>
      </c>
      <c r="S27" t="n">
        <v>335.09</v>
      </c>
      <c r="T27" t="n">
        <v>311.77</v>
      </c>
      <c r="U27" t="n">
        <v>310.56</v>
      </c>
      <c r="V27" t="n">
        <v>308.77</v>
      </c>
      <c r="W27" t="n">
        <v>309.56</v>
      </c>
      <c r="X27" t="n">
        <v>315.76</v>
      </c>
      <c r="Y27" t="n">
        <v>327.88</v>
      </c>
      <c r="Z27" t="n">
        <v>329.07</v>
      </c>
      <c r="AA27" t="n">
        <v>325.87</v>
      </c>
      <c r="AB27" t="n">
        <v>330.75</v>
      </c>
      <c r="AC27" t="n">
        <v>329.57</v>
      </c>
      <c r="AD27" t="n">
        <v>331.62</v>
      </c>
      <c r="AE27" t="n">
        <v>324.17</v>
      </c>
      <c r="AF27" t="n">
        <v>321.1</v>
      </c>
    </row>
    <row r="28">
      <c r="A28" t="s">
        <v>20</v>
      </c>
      <c r="B28" t="s">
        <v>213</v>
      </c>
      <c r="C28" t="s">
        <v>129</v>
      </c>
      <c r="D28" t="s">
        <v>214</v>
      </c>
      <c r="E28" t="s">
        <v>130</v>
      </c>
      <c r="F28" t="n">
        <v>265.93</v>
      </c>
      <c r="G28" t="n">
        <v>263.61</v>
      </c>
      <c r="H28" t="n">
        <v>258.93</v>
      </c>
      <c r="I28" t="n">
        <v>260.02</v>
      </c>
      <c r="J28" t="n">
        <v>261.17</v>
      </c>
      <c r="K28" t="n">
        <v>264.08</v>
      </c>
      <c r="L28" t="n">
        <v>266.17</v>
      </c>
      <c r="M28" t="n">
        <v>263.73</v>
      </c>
      <c r="N28" t="n">
        <v>259.05</v>
      </c>
      <c r="O28" t="n">
        <v>259.21</v>
      </c>
      <c r="P28" t="n">
        <v>245.27</v>
      </c>
      <c r="Q28" t="n">
        <v>258.99</v>
      </c>
      <c r="R28" t="n">
        <v>252.12</v>
      </c>
      <c r="S28" t="n">
        <v>223.29</v>
      </c>
      <c r="T28" t="n">
        <v>235.29</v>
      </c>
      <c r="U28" t="n">
        <v>220.11</v>
      </c>
      <c r="V28" t="n">
        <v>225.39</v>
      </c>
      <c r="W28" t="n">
        <v>240.39</v>
      </c>
      <c r="X28" t="n">
        <v>237.97</v>
      </c>
      <c r="Y28" t="n">
        <v>239.66</v>
      </c>
      <c r="Z28" t="n">
        <v>240.96</v>
      </c>
      <c r="AA28" t="n">
        <v>251.18</v>
      </c>
      <c r="AB28" t="n">
        <v>259.19</v>
      </c>
      <c r="AC28" t="n">
        <v>259.33</v>
      </c>
      <c r="AD28" t="n">
        <v>262.36</v>
      </c>
      <c r="AE28" t="n">
        <v>236.9</v>
      </c>
      <c r="AF28" t="n">
        <v>241.17</v>
      </c>
    </row>
    <row r="29">
      <c r="A29" t="s">
        <v>20</v>
      </c>
      <c r="B29" t="s">
        <v>215</v>
      </c>
      <c r="C29" t="s">
        <v>129</v>
      </c>
      <c r="D29" t="s">
        <v>216</v>
      </c>
      <c r="E29" t="s">
        <v>130</v>
      </c>
      <c r="F29" t="n">
        <v>169.58</v>
      </c>
      <c r="G29" t="n">
        <v>165.23</v>
      </c>
      <c r="H29" t="n">
        <v>161.6</v>
      </c>
      <c r="I29" t="n">
        <v>164.04</v>
      </c>
      <c r="J29" t="n">
        <v>164.1</v>
      </c>
      <c r="K29" t="n">
        <v>159.42</v>
      </c>
      <c r="L29" t="n">
        <v>164.12</v>
      </c>
      <c r="M29" t="n">
        <v>163.05</v>
      </c>
      <c r="N29" t="n">
        <v>164.36</v>
      </c>
      <c r="O29" t="n">
        <v>163.66</v>
      </c>
      <c r="P29" t="n">
        <v>147.23</v>
      </c>
      <c r="Q29" t="n">
        <v>152.13</v>
      </c>
      <c r="R29" t="n">
        <v>155.08</v>
      </c>
      <c r="S29" t="n">
        <v>130.01</v>
      </c>
      <c r="T29" t="n">
        <v>124.64</v>
      </c>
      <c r="U29" t="n">
        <v>122.92</v>
      </c>
      <c r="V29" t="n">
        <v>123.89</v>
      </c>
      <c r="W29" t="n">
        <v>120.64</v>
      </c>
      <c r="X29" t="n">
        <v>128.83</v>
      </c>
      <c r="Y29" t="n">
        <v>131.27</v>
      </c>
      <c r="Z29" t="n">
        <v>136.52</v>
      </c>
      <c r="AA29" t="n">
        <v>142.78</v>
      </c>
      <c r="AB29" t="n">
        <v>146.98</v>
      </c>
      <c r="AC29" t="n">
        <v>147.5</v>
      </c>
      <c r="AD29" t="n">
        <v>150.67</v>
      </c>
      <c r="AE29" t="n">
        <v>138.6</v>
      </c>
      <c r="AF29" t="n">
        <v>139.25</v>
      </c>
    </row>
    <row r="30">
      <c r="A30" t="s">
        <v>20</v>
      </c>
      <c r="B30" t="s">
        <v>217</v>
      </c>
      <c r="C30" t="s">
        <v>129</v>
      </c>
      <c r="D30" t="s">
        <v>218</v>
      </c>
      <c r="E30" t="s">
        <v>130</v>
      </c>
      <c r="F30" t="n">
        <v>6.02</v>
      </c>
      <c r="G30" t="n">
        <v>4.37</v>
      </c>
      <c r="H30" t="n">
        <v>2.58</v>
      </c>
      <c r="I30" t="n">
        <v>4.16</v>
      </c>
      <c r="J30" t="n">
        <v>3.26</v>
      </c>
      <c r="K30" t="n">
        <v>3.18</v>
      </c>
      <c r="L30" t="n">
        <v>2.1</v>
      </c>
      <c r="M30" t="n">
        <v>2.17</v>
      </c>
      <c r="N30" t="n">
        <v>2.91</v>
      </c>
      <c r="O30" t="n">
        <v>1.02</v>
      </c>
      <c r="P30" t="n">
        <v>1.92</v>
      </c>
      <c r="Q30" t="n">
        <v>1.9</v>
      </c>
      <c r="R30" t="n">
        <v>3.01</v>
      </c>
      <c r="S30" t="n">
        <v>0.68</v>
      </c>
      <c r="T30" t="n">
        <v>2.03</v>
      </c>
      <c r="U30" t="n">
        <v>1.06</v>
      </c>
      <c r="V30" t="n">
        <v>1.77</v>
      </c>
      <c r="W30" t="n">
        <v>2.01</v>
      </c>
      <c r="X30" t="n">
        <v>2.51</v>
      </c>
      <c r="Y30" t="n">
        <v>2.1</v>
      </c>
      <c r="Z30" t="n">
        <v>2.05</v>
      </c>
      <c r="AA30" t="n">
        <v>2.82</v>
      </c>
      <c r="AB30" t="n">
        <v>2.32</v>
      </c>
      <c r="AC30" t="n">
        <v>2.31</v>
      </c>
      <c r="AD30" t="n">
        <v>2.26</v>
      </c>
      <c r="AE30" t="n">
        <v>2.43</v>
      </c>
      <c r="AF30" t="n">
        <v>1.61</v>
      </c>
    </row>
    <row r="31">
      <c r="A31" t="s">
        <v>20</v>
      </c>
      <c r="B31" t="s">
        <v>219</v>
      </c>
      <c r="C31" t="s">
        <v>129</v>
      </c>
      <c r="D31" t="s">
        <v>220</v>
      </c>
      <c r="E31" t="s">
        <v>130</v>
      </c>
      <c r="F31" t="n">
        <v>7.08</v>
      </c>
      <c r="G31" t="n">
        <v>7.82</v>
      </c>
      <c r="H31" t="n">
        <v>4.44</v>
      </c>
      <c r="I31" t="n">
        <v>7.09</v>
      </c>
      <c r="J31" t="n">
        <v>7.21</v>
      </c>
      <c r="K31" t="n">
        <v>7.93</v>
      </c>
      <c r="L31" t="n">
        <v>7.6</v>
      </c>
      <c r="M31" t="n">
        <v>9.65</v>
      </c>
      <c r="N31" t="n">
        <v>6.95</v>
      </c>
      <c r="O31" t="n">
        <v>8.85</v>
      </c>
      <c r="P31" t="n">
        <v>11.17</v>
      </c>
      <c r="Q31" t="n">
        <v>8.21</v>
      </c>
      <c r="R31" t="n">
        <v>7.11</v>
      </c>
      <c r="S31" t="n">
        <v>4.72</v>
      </c>
      <c r="T31" t="n">
        <v>3.14</v>
      </c>
      <c r="U31" t="n">
        <v>6.92</v>
      </c>
      <c r="V31" t="n">
        <v>7.77</v>
      </c>
      <c r="W31" t="n">
        <v>3.35</v>
      </c>
      <c r="X31" t="n">
        <v>1.79</v>
      </c>
      <c r="Y31" t="n">
        <v>1.16</v>
      </c>
      <c r="Z31" t="n">
        <v>1.15</v>
      </c>
      <c r="AA31" t="n">
        <v>2.49</v>
      </c>
      <c r="AB31" t="n">
        <v>1.16</v>
      </c>
      <c r="AC31" t="n">
        <v>2.13</v>
      </c>
      <c r="AD31" t="n">
        <v>2.16</v>
      </c>
      <c r="AE31" t="n">
        <v>1.53</v>
      </c>
      <c r="AF31" t="n">
        <v>1.26</v>
      </c>
    </row>
    <row r="32">
      <c r="A32" t="s">
        <v>20</v>
      </c>
      <c r="B32" t="s">
        <v>221</v>
      </c>
      <c r="C32" t="s">
        <v>129</v>
      </c>
      <c r="D32" t="s">
        <v>222</v>
      </c>
      <c r="E32" t="s">
        <v>130</v>
      </c>
      <c r="F32" t="n">
        <v>30.23</v>
      </c>
      <c r="G32" t="n">
        <v>33.41</v>
      </c>
      <c r="H32" t="n">
        <v>35.41</v>
      </c>
      <c r="I32" t="n">
        <v>32.45</v>
      </c>
      <c r="J32" t="n">
        <v>34.92</v>
      </c>
      <c r="K32" t="n">
        <v>36.38</v>
      </c>
      <c r="L32" t="n">
        <v>35.97</v>
      </c>
      <c r="M32" t="n">
        <v>39.3</v>
      </c>
      <c r="N32" t="n">
        <v>38.21</v>
      </c>
      <c r="O32" t="n">
        <v>42.23</v>
      </c>
      <c r="P32" t="n">
        <v>40.15</v>
      </c>
      <c r="Q32" t="n">
        <v>47.33</v>
      </c>
      <c r="R32" t="n">
        <v>39.34</v>
      </c>
      <c r="S32" t="n">
        <v>41.45</v>
      </c>
      <c r="T32" t="n">
        <v>56.11</v>
      </c>
      <c r="U32" t="n">
        <v>48.13</v>
      </c>
      <c r="V32" t="n">
        <v>53.85</v>
      </c>
      <c r="W32" t="n">
        <v>65.2</v>
      </c>
      <c r="X32" t="n">
        <v>59.55</v>
      </c>
      <c r="Y32" t="n">
        <v>60.86</v>
      </c>
      <c r="Z32" t="n">
        <v>58.77</v>
      </c>
      <c r="AA32" t="n">
        <v>59.54</v>
      </c>
      <c r="AB32" t="n">
        <v>62.23</v>
      </c>
      <c r="AC32" t="n">
        <v>62.92</v>
      </c>
      <c r="AD32" t="n">
        <v>63.28</v>
      </c>
      <c r="AE32" t="n">
        <v>56.03</v>
      </c>
      <c r="AF32" t="n">
        <v>60.23</v>
      </c>
    </row>
    <row r="33">
      <c r="A33" t="s">
        <v>20</v>
      </c>
      <c r="B33" t="s">
        <v>223</v>
      </c>
      <c r="C33" t="s">
        <v>129</v>
      </c>
      <c r="D33" t="s">
        <v>224</v>
      </c>
      <c r="E33" t="s">
        <v>130</v>
      </c>
      <c r="F33" t="n">
        <v>53.02</v>
      </c>
      <c r="G33" t="n">
        <v>52.78</v>
      </c>
      <c r="H33" t="n">
        <v>54.9</v>
      </c>
      <c r="I33" t="n">
        <v>52.28</v>
      </c>
      <c r="J33" t="n">
        <v>51.68</v>
      </c>
      <c r="K33" t="n">
        <v>57.17</v>
      </c>
      <c r="L33" t="n">
        <v>56.38</v>
      </c>
      <c r="M33" t="n">
        <v>49.56</v>
      </c>
      <c r="N33" t="n">
        <v>46.62</v>
      </c>
      <c r="O33" t="n">
        <v>43.45</v>
      </c>
      <c r="P33" t="n">
        <v>44.8</v>
      </c>
      <c r="Q33" t="n">
        <v>49.42</v>
      </c>
      <c r="R33" t="n">
        <v>47.58</v>
      </c>
      <c r="S33" t="n">
        <v>46.43</v>
      </c>
      <c r="T33" t="n">
        <v>49.37</v>
      </c>
      <c r="U33" t="n">
        <v>41.08</v>
      </c>
      <c r="V33" t="n">
        <v>38.11</v>
      </c>
      <c r="W33" t="n">
        <v>49.19</v>
      </c>
      <c r="X33" t="n">
        <v>45.29</v>
      </c>
      <c r="Y33" t="n">
        <v>44.27</v>
      </c>
      <c r="Z33" t="n">
        <v>42.47</v>
      </c>
      <c r="AA33" t="n">
        <v>43.55</v>
      </c>
      <c r="AB33" t="n">
        <v>46.5</v>
      </c>
      <c r="AC33" t="n">
        <v>44.47</v>
      </c>
      <c r="AD33" t="n">
        <v>43.99</v>
      </c>
      <c r="AE33" t="n">
        <v>38.31</v>
      </c>
      <c r="AF33" t="n">
        <v>38.82</v>
      </c>
    </row>
    <row r="34">
      <c r="A34" t="s">
        <v>20</v>
      </c>
      <c r="B34" t="s">
        <v>225</v>
      </c>
      <c r="C34" t="s">
        <v>129</v>
      </c>
      <c r="D34" t="s">
        <v>226</v>
      </c>
      <c r="E34" t="s">
        <v>130</v>
      </c>
      <c r="F34" t="n">
        <v>97.58</v>
      </c>
      <c r="G34" t="n">
        <v>95.79</v>
      </c>
      <c r="H34" t="n">
        <v>101.06</v>
      </c>
      <c r="I34" t="n">
        <v>105.06</v>
      </c>
      <c r="J34" t="n">
        <v>112.39</v>
      </c>
      <c r="K34" t="n">
        <v>113.48</v>
      </c>
      <c r="L34" t="n">
        <v>120.84</v>
      </c>
      <c r="M34" t="n">
        <v>119.92</v>
      </c>
      <c r="N34" t="n">
        <v>118.75</v>
      </c>
      <c r="O34" t="n">
        <v>127.09</v>
      </c>
      <c r="P34" t="n">
        <v>135.71</v>
      </c>
      <c r="Q34" t="n">
        <v>136.5</v>
      </c>
      <c r="R34" t="n">
        <v>137.68</v>
      </c>
      <c r="S34" t="n">
        <v>131.48</v>
      </c>
      <c r="T34" t="n">
        <v>136.7</v>
      </c>
      <c r="U34" t="n">
        <v>134.51</v>
      </c>
      <c r="V34" t="n">
        <v>149.3</v>
      </c>
      <c r="W34" t="n">
        <v>151.01</v>
      </c>
      <c r="X34" t="n">
        <v>152.79</v>
      </c>
      <c r="Y34" t="n">
        <v>141.55</v>
      </c>
      <c r="Z34" t="n">
        <v>150.66</v>
      </c>
      <c r="AA34" t="n">
        <v>179.12</v>
      </c>
      <c r="AB34" t="n">
        <v>166.1</v>
      </c>
      <c r="AC34" t="n">
        <v>165.9</v>
      </c>
      <c r="AD34" t="n">
        <v>171.6</v>
      </c>
      <c r="AE34" t="n">
        <v>158.55</v>
      </c>
      <c r="AF34" t="n">
        <v>158.1</v>
      </c>
    </row>
    <row r="35">
      <c r="A35" t="s">
        <v>20</v>
      </c>
      <c r="B35" t="s">
        <v>227</v>
      </c>
      <c r="C35" t="s">
        <v>129</v>
      </c>
      <c r="D35" t="s">
        <v>228</v>
      </c>
      <c r="E35" t="s">
        <v>130</v>
      </c>
      <c r="F35" t="n">
        <v>66.14</v>
      </c>
      <c r="G35" t="n">
        <v>64.19</v>
      </c>
      <c r="H35" t="n">
        <v>61.2</v>
      </c>
      <c r="I35" t="n">
        <v>66.15</v>
      </c>
      <c r="J35" t="n">
        <v>67.75</v>
      </c>
      <c r="K35" t="n">
        <v>76.32</v>
      </c>
      <c r="L35" t="n">
        <v>84.25</v>
      </c>
      <c r="M35" t="n">
        <v>81.78</v>
      </c>
      <c r="N35" t="n">
        <v>86.33</v>
      </c>
      <c r="O35" t="n">
        <v>80.26</v>
      </c>
      <c r="P35" t="n">
        <v>81.43</v>
      </c>
      <c r="Q35" t="n">
        <v>92.98</v>
      </c>
      <c r="R35" t="n">
        <v>94.67</v>
      </c>
      <c r="S35" t="n">
        <v>95.53</v>
      </c>
      <c r="T35" t="n">
        <v>99.2</v>
      </c>
      <c r="U35" t="n">
        <v>95.28</v>
      </c>
      <c r="V35" t="n">
        <v>101.17</v>
      </c>
      <c r="W35" t="n">
        <v>99.12</v>
      </c>
      <c r="X35" t="n">
        <v>106.72</v>
      </c>
      <c r="Y35" t="n">
        <v>114.54</v>
      </c>
      <c r="Z35" t="n">
        <v>118.52</v>
      </c>
      <c r="AA35" t="n">
        <v>123.19</v>
      </c>
      <c r="AB35" t="n">
        <v>125.57</v>
      </c>
      <c r="AC35" t="n">
        <v>128.9</v>
      </c>
      <c r="AD35" t="n">
        <v>134.88</v>
      </c>
      <c r="AE35" t="n">
        <v>140.24</v>
      </c>
      <c r="AF35" t="n">
        <v>154.71</v>
      </c>
    </row>
    <row r="36">
      <c r="A36" t="s">
        <v>20</v>
      </c>
      <c r="B36" t="s">
        <v>229</v>
      </c>
      <c r="C36" t="s">
        <v>129</v>
      </c>
      <c r="D36" t="s">
        <v>230</v>
      </c>
      <c r="E36" t="s">
        <v>130</v>
      </c>
      <c r="F36" t="n">
        <v>27.51</v>
      </c>
      <c r="G36" t="n">
        <v>26.03</v>
      </c>
      <c r="H36" t="n">
        <v>23</v>
      </c>
      <c r="I36" t="n">
        <v>25.84</v>
      </c>
      <c r="J36" t="n">
        <v>26.23</v>
      </c>
      <c r="K36" t="n">
        <v>26.41</v>
      </c>
      <c r="L36" t="n">
        <v>29.42</v>
      </c>
      <c r="M36" t="n">
        <v>29.37</v>
      </c>
      <c r="N36" t="n">
        <v>31.14</v>
      </c>
      <c r="O36" t="n">
        <v>28.77</v>
      </c>
      <c r="P36" t="n">
        <v>28.69</v>
      </c>
      <c r="Q36" t="n">
        <v>30.58</v>
      </c>
      <c r="R36" t="n">
        <v>32.44</v>
      </c>
      <c r="S36" t="n">
        <v>34.06</v>
      </c>
      <c r="T36" t="n">
        <v>29.16</v>
      </c>
      <c r="U36" t="n">
        <v>31.77</v>
      </c>
      <c r="V36" t="n">
        <v>27.39</v>
      </c>
      <c r="W36" t="n">
        <v>29.16</v>
      </c>
      <c r="X36" t="n">
        <v>32.21</v>
      </c>
      <c r="Y36" t="n">
        <v>30.36</v>
      </c>
      <c r="Z36" t="n">
        <v>28.49</v>
      </c>
      <c r="AA36" t="n">
        <v>29.67</v>
      </c>
      <c r="AB36" t="n">
        <v>28.2</v>
      </c>
      <c r="AC36" t="n">
        <v>29.35</v>
      </c>
      <c r="AD36" t="n">
        <v>29.76</v>
      </c>
      <c r="AE36" t="n">
        <v>26.02</v>
      </c>
      <c r="AF36" t="n">
        <v>26.04</v>
      </c>
    </row>
    <row r="37">
      <c r="A37" t="s">
        <v>20</v>
      </c>
      <c r="B37" t="s">
        <v>231</v>
      </c>
      <c r="C37" t="s">
        <v>129</v>
      </c>
      <c r="D37" t="s">
        <v>232</v>
      </c>
      <c r="E37" t="s">
        <v>130</v>
      </c>
      <c r="F37" t="n">
        <v>25.69</v>
      </c>
      <c r="G37" t="n">
        <v>25.57</v>
      </c>
      <c r="H37" t="n">
        <v>26.59</v>
      </c>
      <c r="I37" t="n">
        <v>25.33</v>
      </c>
      <c r="J37" t="n">
        <v>25.02</v>
      </c>
      <c r="K37" t="n">
        <v>27.69</v>
      </c>
      <c r="L37" t="n">
        <v>27.3</v>
      </c>
      <c r="M37" t="n">
        <v>24</v>
      </c>
      <c r="N37" t="n">
        <v>22.58</v>
      </c>
      <c r="O37" t="n">
        <v>21.01</v>
      </c>
      <c r="P37" t="n">
        <v>21.67</v>
      </c>
      <c r="Q37" t="n">
        <v>23.88</v>
      </c>
      <c r="R37" t="n">
        <v>22.77</v>
      </c>
      <c r="S37" t="n">
        <v>21.74</v>
      </c>
      <c r="T37" t="n">
        <v>22.54</v>
      </c>
      <c r="U37" t="n">
        <v>18.43</v>
      </c>
      <c r="V37" t="n">
        <v>20.13</v>
      </c>
      <c r="W37" t="n">
        <v>23.38</v>
      </c>
      <c r="X37" t="n">
        <v>22.2</v>
      </c>
      <c r="Y37" t="n">
        <v>22.77</v>
      </c>
      <c r="Z37" t="n">
        <v>22.47</v>
      </c>
      <c r="AA37" t="n">
        <v>20.02</v>
      </c>
      <c r="AB37" t="n">
        <v>21.45</v>
      </c>
      <c r="AC37" t="n">
        <v>20.83</v>
      </c>
      <c r="AD37" t="n">
        <v>20.55</v>
      </c>
      <c r="AE37" t="n">
        <v>16.32</v>
      </c>
      <c r="AF37" t="n">
        <v>20.05</v>
      </c>
    </row>
    <row r="38">
      <c r="A38" t="s">
        <v>20</v>
      </c>
      <c r="B38" t="s">
        <v>233</v>
      </c>
      <c r="C38" t="s">
        <v>129</v>
      </c>
      <c r="D38" t="s">
        <v>234</v>
      </c>
      <c r="E38" t="s">
        <v>130</v>
      </c>
      <c r="F38" t="n">
        <v>12.94</v>
      </c>
      <c r="G38" t="n">
        <v>12.59</v>
      </c>
      <c r="H38" t="n">
        <v>11.61</v>
      </c>
      <c r="I38" t="n">
        <v>14.98</v>
      </c>
      <c r="J38" t="n">
        <v>16.5</v>
      </c>
      <c r="K38" t="n">
        <v>22.22</v>
      </c>
      <c r="L38" t="n">
        <v>27.53</v>
      </c>
      <c r="M38" t="n">
        <v>28.41</v>
      </c>
      <c r="N38" t="n">
        <v>32.61</v>
      </c>
      <c r="O38" t="n">
        <v>30.48</v>
      </c>
      <c r="P38" t="n">
        <v>31.07</v>
      </c>
      <c r="Q38" t="n">
        <v>38.52</v>
      </c>
      <c r="R38" t="n">
        <v>39.46</v>
      </c>
      <c r="S38" t="n">
        <v>39.73</v>
      </c>
      <c r="T38" t="n">
        <v>47.5</v>
      </c>
      <c r="U38" t="n">
        <v>45.08</v>
      </c>
      <c r="V38" t="n">
        <v>53.65</v>
      </c>
      <c r="W38" t="n">
        <v>46.58</v>
      </c>
      <c r="X38" t="n">
        <v>52.31</v>
      </c>
      <c r="Y38" t="n">
        <v>61.41</v>
      </c>
      <c r="Z38" t="n">
        <v>67.56</v>
      </c>
      <c r="AA38" t="n">
        <v>73.5</v>
      </c>
      <c r="AB38" t="n">
        <v>75.92</v>
      </c>
      <c r="AC38" t="n">
        <v>78.72</v>
      </c>
      <c r="AD38" t="n">
        <v>84.57</v>
      </c>
      <c r="AE38" t="n">
        <v>97.9</v>
      </c>
      <c r="AF38" t="n">
        <v>108.62</v>
      </c>
    </row>
    <row r="39">
      <c r="A39" t="s">
        <v>20</v>
      </c>
      <c r="B39" t="s">
        <v>235</v>
      </c>
      <c r="C39" t="s">
        <v>129</v>
      </c>
      <c r="D39" t="s">
        <v>236</v>
      </c>
      <c r="E39" t="s">
        <v>130</v>
      </c>
      <c r="F39" t="n">
        <v>84.13</v>
      </c>
      <c r="G39" t="n">
        <v>85.82</v>
      </c>
      <c r="H39" t="n">
        <v>84.31</v>
      </c>
      <c r="I39" t="n">
        <v>80.78</v>
      </c>
      <c r="J39" t="n">
        <v>76.24</v>
      </c>
      <c r="K39" t="n">
        <v>79.83</v>
      </c>
      <c r="L39" t="n">
        <v>75.98</v>
      </c>
      <c r="M39" t="n">
        <v>71.48</v>
      </c>
      <c r="N39" t="n">
        <v>69.5</v>
      </c>
      <c r="O39" t="n">
        <v>75.71</v>
      </c>
      <c r="P39" t="n">
        <v>75.58</v>
      </c>
      <c r="Q39" t="n">
        <v>79.51</v>
      </c>
      <c r="R39" t="n">
        <v>81.6</v>
      </c>
      <c r="S39" t="n">
        <v>86.6</v>
      </c>
      <c r="T39" t="n">
        <v>83.09</v>
      </c>
      <c r="U39" t="n">
        <v>80.27</v>
      </c>
      <c r="V39" t="n">
        <v>79.53</v>
      </c>
      <c r="W39" t="n">
        <v>85.16</v>
      </c>
      <c r="X39" t="n">
        <v>79.48</v>
      </c>
      <c r="Y39" t="n">
        <v>78.6</v>
      </c>
      <c r="Z39" t="n">
        <v>76.28</v>
      </c>
      <c r="AA39" t="n">
        <v>74.92</v>
      </c>
      <c r="AB39" t="n">
        <v>76.5</v>
      </c>
      <c r="AC39" t="n">
        <v>72.98</v>
      </c>
      <c r="AD39" t="n">
        <v>74.82</v>
      </c>
      <c r="AE39" t="n">
        <v>75.76</v>
      </c>
      <c r="AF39" t="n">
        <v>75.43</v>
      </c>
    </row>
    <row r="40">
      <c r="A40" t="s">
        <v>20</v>
      </c>
      <c r="B40" t="s">
        <v>237</v>
      </c>
      <c r="C40" t="s">
        <v>129</v>
      </c>
      <c r="D40" t="s">
        <v>238</v>
      </c>
      <c r="E40" t="s">
        <v>130</v>
      </c>
      <c r="F40" t="n">
        <v>57.76</v>
      </c>
      <c r="G40" t="n">
        <v>61.14</v>
      </c>
      <c r="H40" t="n">
        <v>61.38</v>
      </c>
      <c r="I40" t="n">
        <v>59.38</v>
      </c>
      <c r="J40" t="n">
        <v>60.11</v>
      </c>
      <c r="K40" t="n">
        <v>60.32</v>
      </c>
      <c r="L40" t="n">
        <v>60.23</v>
      </c>
      <c r="M40" t="n">
        <v>61.94</v>
      </c>
      <c r="N40" t="n">
        <v>62.34</v>
      </c>
      <c r="O40" t="n">
        <v>62.59</v>
      </c>
      <c r="P40" t="n">
        <v>61.94</v>
      </c>
      <c r="Q40" t="n">
        <v>62.41</v>
      </c>
      <c r="R40" t="n">
        <v>62.05</v>
      </c>
      <c r="S40" t="n">
        <v>64.91</v>
      </c>
      <c r="T40" t="n">
        <v>64.5</v>
      </c>
      <c r="U40" t="n">
        <v>65.39</v>
      </c>
      <c r="V40" t="n">
        <v>65.55</v>
      </c>
      <c r="W40" t="n">
        <v>66.62</v>
      </c>
      <c r="X40" t="n">
        <v>65.13</v>
      </c>
      <c r="Y40" t="n">
        <v>64.27</v>
      </c>
      <c r="Z40" t="n">
        <v>63.63</v>
      </c>
      <c r="AA40" t="n">
        <v>65.15</v>
      </c>
      <c r="AB40" t="n">
        <v>68.23</v>
      </c>
      <c r="AC40" t="n">
        <v>73.71</v>
      </c>
      <c r="AD40" t="n">
        <v>75.06</v>
      </c>
      <c r="AE40" t="n">
        <v>72.75</v>
      </c>
      <c r="AF40" t="n">
        <v>72.02</v>
      </c>
    </row>
    <row r="41">
      <c r="A41" t="s">
        <v>20</v>
      </c>
      <c r="B41" t="s">
        <v>239</v>
      </c>
      <c r="C41" t="s">
        <v>129</v>
      </c>
      <c r="D41" t="s">
        <v>240</v>
      </c>
      <c r="E41" t="s">
        <v>130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20</v>
      </c>
      <c r="B42" t="s">
        <v>241</v>
      </c>
      <c r="C42" t="s">
        <v>129</v>
      </c>
      <c r="D42" t="s">
        <v>242</v>
      </c>
      <c r="E42" t="s">
        <v>130</v>
      </c>
      <c r="F42" t="n">
        <v>59.64</v>
      </c>
      <c r="G42" t="n">
        <v>53.01</v>
      </c>
      <c r="H42" t="n">
        <v>62.54</v>
      </c>
      <c r="I42" t="n">
        <v>67.79</v>
      </c>
      <c r="J42" t="n">
        <v>78.82</v>
      </c>
      <c r="K42" t="n">
        <v>89.33</v>
      </c>
      <c r="L42" t="n">
        <v>89.87</v>
      </c>
      <c r="M42" t="n">
        <v>92.12</v>
      </c>
      <c r="N42" t="n">
        <v>101.64</v>
      </c>
      <c r="O42" t="n">
        <v>109.76</v>
      </c>
      <c r="P42" t="n">
        <v>113.16</v>
      </c>
      <c r="Q42" t="n">
        <v>111.06</v>
      </c>
      <c r="R42" t="n">
        <v>114.86</v>
      </c>
      <c r="S42" t="n">
        <v>125.48</v>
      </c>
      <c r="T42" t="n">
        <v>148.09</v>
      </c>
      <c r="U42" t="n">
        <v>131.55</v>
      </c>
      <c r="V42" t="n">
        <v>132.93</v>
      </c>
      <c r="W42" t="n">
        <v>121.24</v>
      </c>
      <c r="X42" t="n">
        <v>155.66</v>
      </c>
      <c r="Y42" t="n">
        <v>187.36</v>
      </c>
      <c r="Z42" t="n">
        <v>201.12</v>
      </c>
      <c r="AA42" t="n">
        <v>218.27</v>
      </c>
      <c r="AB42" t="n">
        <v>232.39</v>
      </c>
      <c r="AC42" t="n">
        <v>235.25</v>
      </c>
      <c r="AD42" t="n">
        <v>234.99</v>
      </c>
      <c r="AE42" t="n">
        <v>243.3</v>
      </c>
      <c r="AF42" t="n">
        <v>249.7</v>
      </c>
    </row>
    <row r="43">
      <c r="A43" t="s">
        <v>20</v>
      </c>
      <c r="B43" t="s">
        <v>243</v>
      </c>
      <c r="C43" t="s">
        <v>129</v>
      </c>
      <c r="D43" t="s">
        <v>244</v>
      </c>
      <c r="E43" t="s">
        <v>130</v>
      </c>
      <c r="F43" t="n">
        <v>102.66</v>
      </c>
      <c r="G43" t="n">
        <v>95.1</v>
      </c>
      <c r="H43" t="n">
        <v>114.58</v>
      </c>
      <c r="I43" t="n">
        <v>123.16</v>
      </c>
      <c r="J43" t="n">
        <v>140.41</v>
      </c>
      <c r="K43" t="n">
        <v>166.48</v>
      </c>
      <c r="L43" t="n">
        <v>171.26</v>
      </c>
      <c r="M43" t="n">
        <v>175.16</v>
      </c>
      <c r="N43" t="n">
        <v>196</v>
      </c>
      <c r="O43" t="n">
        <v>217.9</v>
      </c>
      <c r="P43" t="n">
        <v>231.19</v>
      </c>
      <c r="Q43" t="n">
        <v>233.78</v>
      </c>
      <c r="R43" t="n">
        <v>245.01</v>
      </c>
      <c r="S43" t="n">
        <v>260.71</v>
      </c>
      <c r="T43" t="n">
        <v>313.22</v>
      </c>
      <c r="U43" t="n">
        <v>317.45</v>
      </c>
      <c r="V43" t="n">
        <v>325.7</v>
      </c>
      <c r="W43" t="n">
        <v>282.36</v>
      </c>
      <c r="X43" t="n">
        <v>319.83</v>
      </c>
      <c r="Y43" t="n">
        <v>397.81</v>
      </c>
      <c r="Z43" t="n">
        <v>427.11</v>
      </c>
      <c r="AA43" t="n">
        <v>438.06</v>
      </c>
      <c r="AB43" t="n">
        <v>453.83</v>
      </c>
      <c r="AC43" t="n">
        <v>468.75</v>
      </c>
      <c r="AD43" t="n">
        <v>472.29</v>
      </c>
      <c r="AE43" t="n">
        <v>477.32</v>
      </c>
      <c r="AF43" t="n">
        <v>487.04</v>
      </c>
    </row>
    <row r="44">
      <c r="A44" t="s">
        <v>20</v>
      </c>
      <c r="B44" t="s">
        <v>245</v>
      </c>
      <c r="C44" t="s">
        <v>129</v>
      </c>
      <c r="D44" t="s">
        <v>246</v>
      </c>
      <c r="E44" t="s">
        <v>130</v>
      </c>
      <c r="F44" t="n">
        <v>2532.34</v>
      </c>
      <c r="G44" t="n">
        <v>2534.91</v>
      </c>
      <c r="H44" t="n">
        <v>2583.86</v>
      </c>
      <c r="I44" t="n">
        <v>2625.69</v>
      </c>
      <c r="J44" t="n">
        <v>2676.77</v>
      </c>
      <c r="K44" t="n">
        <v>2731.56</v>
      </c>
      <c r="L44" t="n">
        <v>2751.17</v>
      </c>
      <c r="M44" t="n">
        <v>2741.42</v>
      </c>
      <c r="N44" t="n">
        <v>2784.22</v>
      </c>
      <c r="O44" t="n">
        <v>2745.52</v>
      </c>
      <c r="P44" t="n">
        <v>2789.2</v>
      </c>
      <c r="Q44" t="n">
        <v>2828.92</v>
      </c>
      <c r="R44" t="n">
        <v>2859.84</v>
      </c>
      <c r="S44" t="n">
        <v>2787.37</v>
      </c>
      <c r="T44" t="n">
        <v>2727.81</v>
      </c>
      <c r="U44" t="n">
        <v>2667.73</v>
      </c>
      <c r="V44" t="n">
        <v>2676.64</v>
      </c>
      <c r="W44" t="n">
        <v>2692.48</v>
      </c>
      <c r="X44" t="n">
        <v>2746.98</v>
      </c>
      <c r="Y44" t="n">
        <v>2881.81</v>
      </c>
      <c r="Z44" t="n">
        <v>2936.35</v>
      </c>
      <c r="AA44" t="n">
        <v>3040.37</v>
      </c>
      <c r="AB44" t="n">
        <v>3136.41</v>
      </c>
      <c r="AC44" t="n">
        <v>3203.84</v>
      </c>
      <c r="AD44" t="n">
        <v>3250.37</v>
      </c>
      <c r="AE44" t="n">
        <v>3207.09</v>
      </c>
      <c r="AF44" t="n">
        <v>3246.74</v>
      </c>
    </row>
    <row r="45">
      <c r="A45" t="s">
        <v>20</v>
      </c>
      <c r="B45" t="s">
        <v>247</v>
      </c>
      <c r="C45" t="s">
        <v>129</v>
      </c>
      <c r="D45" t="s">
        <v>248</v>
      </c>
      <c r="E45" t="s">
        <v>130</v>
      </c>
      <c r="F45" t="n">
        <v>2295.67</v>
      </c>
      <c r="G45" t="n">
        <v>2294.64</v>
      </c>
      <c r="H45" t="n">
        <v>2359.48</v>
      </c>
      <c r="I45" t="n">
        <v>2409.88</v>
      </c>
      <c r="J45" t="n">
        <v>2474.75</v>
      </c>
      <c r="K45" t="n">
        <v>2548.99</v>
      </c>
      <c r="L45" t="n">
        <v>2572.56</v>
      </c>
      <c r="M45" t="n">
        <v>2571.97</v>
      </c>
      <c r="N45" t="n">
        <v>2623.01</v>
      </c>
      <c r="O45" t="n">
        <v>2602.14</v>
      </c>
      <c r="P45" t="n">
        <v>2647.52</v>
      </c>
      <c r="Q45" t="n">
        <v>2691.17</v>
      </c>
      <c r="R45" t="n">
        <v>2722.72</v>
      </c>
      <c r="S45" t="n">
        <v>2662.66</v>
      </c>
      <c r="T45" t="n">
        <v>2615.04</v>
      </c>
      <c r="U45" t="n">
        <v>2553.93</v>
      </c>
      <c r="V45" t="n">
        <v>2565.06</v>
      </c>
      <c r="W45" t="n">
        <v>2571.21</v>
      </c>
      <c r="X45" t="n">
        <v>2630.56</v>
      </c>
      <c r="Y45" t="n">
        <v>2765.5</v>
      </c>
      <c r="Z45" t="n">
        <v>2819.18</v>
      </c>
      <c r="AA45" t="n">
        <v>2914.8</v>
      </c>
      <c r="AB45" t="n">
        <v>3007.03</v>
      </c>
      <c r="AC45" t="n">
        <v>3078.28</v>
      </c>
      <c r="AD45" t="n">
        <v>3125.55</v>
      </c>
      <c r="AE45" t="n">
        <v>3078.15</v>
      </c>
      <c r="AF45" t="n">
        <v>3124.05</v>
      </c>
    </row>
    <row r="46">
      <c r="A46" t="s">
        <v>20</v>
      </c>
      <c r="B46" t="s">
        <v>249</v>
      </c>
      <c r="C46" t="s">
        <v>129</v>
      </c>
      <c r="D46" t="s">
        <v>250</v>
      </c>
      <c r="E46" t="s">
        <v>130</v>
      </c>
      <c r="F46" t="n">
        <v>43.02</v>
      </c>
      <c r="G46" t="n">
        <v>42.09</v>
      </c>
      <c r="H46" t="n">
        <v>52.04</v>
      </c>
      <c r="I46" t="n">
        <v>55.37</v>
      </c>
      <c r="J46" t="n">
        <v>61.59</v>
      </c>
      <c r="K46" t="n">
        <v>77.15</v>
      </c>
      <c r="L46" t="n">
        <v>81.39</v>
      </c>
      <c r="M46" t="n">
        <v>83.04</v>
      </c>
      <c r="N46" t="n">
        <v>94.36</v>
      </c>
      <c r="O46" t="n">
        <v>108.14</v>
      </c>
      <c r="P46" t="n">
        <v>118.03</v>
      </c>
      <c r="Q46" t="n">
        <v>122.72</v>
      </c>
      <c r="R46" t="n">
        <v>130.15</v>
      </c>
      <c r="S46" t="n">
        <v>135.23</v>
      </c>
      <c r="T46" t="n">
        <v>165.13</v>
      </c>
      <c r="U46" t="n">
        <v>185.9</v>
      </c>
      <c r="V46" t="n">
        <v>192.77</v>
      </c>
      <c r="W46" t="n">
        <v>161.12</v>
      </c>
      <c r="X46" t="n">
        <v>164.17</v>
      </c>
      <c r="Y46" t="n">
        <v>210.45</v>
      </c>
      <c r="Z46" t="n">
        <v>225.99</v>
      </c>
      <c r="AA46" t="n">
        <v>219.79</v>
      </c>
      <c r="AB46" t="n">
        <v>221.44</v>
      </c>
      <c r="AC46" t="n">
        <v>233.5</v>
      </c>
      <c r="AD46" t="n">
        <v>237.3</v>
      </c>
      <c r="AE46" t="n">
        <v>234.02</v>
      </c>
      <c r="AF46" t="n">
        <v>237.34</v>
      </c>
    </row>
    <row r="47">
      <c r="A47" t="s">
        <v>20</v>
      </c>
      <c r="B47" t="s">
        <v>251</v>
      </c>
      <c r="C47" t="s">
        <v>129</v>
      </c>
      <c r="D47" t="s">
        <v>252</v>
      </c>
      <c r="E47" t="s">
        <v>130</v>
      </c>
      <c r="F47" t="n">
        <v>315.61</v>
      </c>
      <c r="G47" t="n">
        <v>308.17</v>
      </c>
      <c r="H47" t="n">
        <v>298.59</v>
      </c>
      <c r="I47" t="n">
        <v>293.87</v>
      </c>
      <c r="J47" t="n">
        <v>293.21</v>
      </c>
      <c r="K47" t="n">
        <v>285.34</v>
      </c>
      <c r="L47" t="n">
        <v>298.2</v>
      </c>
      <c r="M47" t="n">
        <v>298.07</v>
      </c>
      <c r="N47" t="n">
        <v>305.53</v>
      </c>
      <c r="O47" t="n">
        <v>298.11</v>
      </c>
      <c r="P47" t="n">
        <v>290.11</v>
      </c>
      <c r="Q47" t="n">
        <v>286.33</v>
      </c>
      <c r="R47" t="n">
        <v>282.59</v>
      </c>
      <c r="S47" t="n">
        <v>274.95</v>
      </c>
      <c r="T47" t="n">
        <v>301.98</v>
      </c>
      <c r="U47" t="n">
        <v>352.22</v>
      </c>
      <c r="V47" t="n">
        <v>319.44</v>
      </c>
      <c r="W47" t="n">
        <v>346.13</v>
      </c>
      <c r="X47" t="n">
        <v>390.51</v>
      </c>
      <c r="Y47" t="n">
        <v>410.16</v>
      </c>
      <c r="Z47" t="n">
        <v>441.58</v>
      </c>
      <c r="AA47" t="n">
        <v>454.08</v>
      </c>
      <c r="AB47" t="n">
        <v>413.78</v>
      </c>
      <c r="AC47" t="n">
        <v>386.77</v>
      </c>
      <c r="AD47" t="n">
        <v>362.82</v>
      </c>
      <c r="AE47" t="n">
        <v>369.61</v>
      </c>
      <c r="AF47" t="n">
        <v>371.63</v>
      </c>
    </row>
    <row r="48">
      <c r="A48" t="s">
        <v>20</v>
      </c>
      <c r="B48" t="s">
        <v>253</v>
      </c>
      <c r="C48" t="s">
        <v>129</v>
      </c>
      <c r="D48" t="s">
        <v>254</v>
      </c>
      <c r="E48" t="s">
        <v>130</v>
      </c>
      <c r="F48" t="n">
        <v>892.04</v>
      </c>
      <c r="G48" t="n">
        <v>854.93</v>
      </c>
      <c r="H48" t="n">
        <v>842.8</v>
      </c>
      <c r="I48" t="n">
        <v>852.69</v>
      </c>
      <c r="J48" t="n">
        <v>839.83</v>
      </c>
      <c r="K48" t="n">
        <v>836.12</v>
      </c>
      <c r="L48" t="n">
        <v>841.87</v>
      </c>
      <c r="M48" t="n">
        <v>850.23</v>
      </c>
      <c r="N48" t="n">
        <v>897.67</v>
      </c>
      <c r="O48" t="n">
        <v>883.31</v>
      </c>
      <c r="P48" t="n">
        <v>856.3</v>
      </c>
      <c r="Q48" t="n">
        <v>861.6</v>
      </c>
      <c r="R48" t="n">
        <v>819.03</v>
      </c>
      <c r="S48" t="n">
        <v>787.37</v>
      </c>
      <c r="T48" t="n">
        <v>840.64</v>
      </c>
      <c r="U48" t="n">
        <v>865.96</v>
      </c>
      <c r="V48" t="n">
        <v>841.15</v>
      </c>
      <c r="W48" t="n">
        <v>858.61</v>
      </c>
      <c r="X48" t="n">
        <v>911.54</v>
      </c>
      <c r="Y48" t="n">
        <v>949.86</v>
      </c>
      <c r="Z48" t="n">
        <v>992.52</v>
      </c>
      <c r="AA48" t="n">
        <v>1017.59</v>
      </c>
      <c r="AB48" t="n">
        <v>980.35</v>
      </c>
      <c r="AC48" t="n">
        <v>969.55</v>
      </c>
      <c r="AD48" t="n">
        <v>948.5</v>
      </c>
      <c r="AE48" t="n">
        <v>946.86</v>
      </c>
      <c r="AF48" t="n">
        <v>953.53</v>
      </c>
    </row>
    <row r="49">
      <c r="A49" t="s">
        <v>20</v>
      </c>
      <c r="B49" t="s">
        <v>255</v>
      </c>
      <c r="C49" t="s">
        <v>129</v>
      </c>
      <c r="D49" t="s">
        <v>256</v>
      </c>
      <c r="E49" t="s">
        <v>130</v>
      </c>
      <c r="F49" t="n">
        <v>337.16</v>
      </c>
      <c r="G49" t="n">
        <v>313.67</v>
      </c>
      <c r="H49" t="n">
        <v>299.34</v>
      </c>
      <c r="I49" t="n">
        <v>307.87</v>
      </c>
      <c r="J49" t="n">
        <v>302.77</v>
      </c>
      <c r="K49" t="n">
        <v>303.09</v>
      </c>
      <c r="L49" t="n">
        <v>300.06</v>
      </c>
      <c r="M49" t="n">
        <v>305.45</v>
      </c>
      <c r="N49" t="n">
        <v>319.26</v>
      </c>
      <c r="O49" t="n">
        <v>312.88</v>
      </c>
      <c r="P49" t="n">
        <v>299.91</v>
      </c>
      <c r="Q49" t="n">
        <v>303.48</v>
      </c>
      <c r="R49" t="n">
        <v>274.73</v>
      </c>
      <c r="S49" t="n">
        <v>259.63</v>
      </c>
      <c r="T49" t="n">
        <v>263.23</v>
      </c>
      <c r="U49" t="n">
        <v>258.09</v>
      </c>
      <c r="V49" t="n">
        <v>257.76</v>
      </c>
      <c r="W49" t="n">
        <v>255.07</v>
      </c>
      <c r="X49" t="n">
        <v>251.61</v>
      </c>
      <c r="Y49" t="n">
        <v>258.6</v>
      </c>
      <c r="Z49" t="n">
        <v>265.24</v>
      </c>
      <c r="AA49" t="n">
        <v>271.77</v>
      </c>
      <c r="AB49" t="n">
        <v>274.53</v>
      </c>
      <c r="AC49" t="n">
        <v>284.3</v>
      </c>
      <c r="AD49" t="n">
        <v>283.22</v>
      </c>
      <c r="AE49" t="n">
        <v>269.42</v>
      </c>
      <c r="AF49" t="n">
        <v>274.29</v>
      </c>
    </row>
    <row r="50">
      <c r="A50" t="s">
        <v>20</v>
      </c>
      <c r="B50" t="s">
        <v>257</v>
      </c>
      <c r="C50" t="s">
        <v>129</v>
      </c>
      <c r="D50" t="s">
        <v>258</v>
      </c>
      <c r="E50" t="s">
        <v>130</v>
      </c>
      <c r="F50" t="n">
        <v>239.28</v>
      </c>
      <c r="G50" t="n">
        <v>233.1</v>
      </c>
      <c r="H50" t="n">
        <v>244.87</v>
      </c>
      <c r="I50" t="n">
        <v>250.95</v>
      </c>
      <c r="J50" t="n">
        <v>243.85</v>
      </c>
      <c r="K50" t="n">
        <v>247.69</v>
      </c>
      <c r="L50" t="n">
        <v>243.61</v>
      </c>
      <c r="M50" t="n">
        <v>246.72</v>
      </c>
      <c r="N50" t="n">
        <v>272.88</v>
      </c>
      <c r="O50" t="n">
        <v>272.32</v>
      </c>
      <c r="P50" t="n">
        <v>266.28</v>
      </c>
      <c r="Q50" t="n">
        <v>271.8</v>
      </c>
      <c r="R50" t="n">
        <v>261.71</v>
      </c>
      <c r="S50" t="n">
        <v>252.78</v>
      </c>
      <c r="T50" t="n">
        <v>275.42</v>
      </c>
      <c r="U50" t="n">
        <v>255.64</v>
      </c>
      <c r="V50" t="n">
        <v>263.95</v>
      </c>
      <c r="W50" t="n">
        <v>257.41</v>
      </c>
      <c r="X50" t="n">
        <v>269.42</v>
      </c>
      <c r="Y50" t="n">
        <v>281.1</v>
      </c>
      <c r="Z50" t="n">
        <v>285.7</v>
      </c>
      <c r="AA50" t="n">
        <v>291.74</v>
      </c>
      <c r="AB50" t="n">
        <v>292.04</v>
      </c>
      <c r="AC50" t="n">
        <v>298.47</v>
      </c>
      <c r="AD50" t="n">
        <v>302.45</v>
      </c>
      <c r="AE50" t="n">
        <v>307.84</v>
      </c>
      <c r="AF50" t="n">
        <v>307.62</v>
      </c>
    </row>
    <row r="51">
      <c r="A51" t="s">
        <v>20</v>
      </c>
      <c r="B51" t="s">
        <v>259</v>
      </c>
      <c r="C51" t="s">
        <v>129</v>
      </c>
      <c r="D51" t="s">
        <v>260</v>
      </c>
      <c r="E51" t="s">
        <v>130</v>
      </c>
      <c r="F51" t="n">
        <v>157.13</v>
      </c>
      <c r="G51" t="n">
        <v>153.07</v>
      </c>
      <c r="H51" t="n">
        <v>160.83</v>
      </c>
      <c r="I51" t="n">
        <v>164.8</v>
      </c>
      <c r="J51" t="n">
        <v>159.34</v>
      </c>
      <c r="K51" t="n">
        <v>162.8</v>
      </c>
      <c r="L51" t="n">
        <v>160.02</v>
      </c>
      <c r="M51" t="n">
        <v>161.99</v>
      </c>
      <c r="N51" t="n">
        <v>179.13</v>
      </c>
      <c r="O51" t="n">
        <v>179.31</v>
      </c>
      <c r="P51" t="n">
        <v>174.65</v>
      </c>
      <c r="Q51" t="n">
        <v>178.22</v>
      </c>
      <c r="R51" t="n">
        <v>171.44</v>
      </c>
      <c r="S51" t="n">
        <v>167.96</v>
      </c>
      <c r="T51" t="n">
        <v>181.42</v>
      </c>
      <c r="U51" t="n">
        <v>163.76</v>
      </c>
      <c r="V51" t="n">
        <v>172.19</v>
      </c>
      <c r="W51" t="n">
        <v>173.06</v>
      </c>
      <c r="X51" t="n">
        <v>175.51</v>
      </c>
      <c r="Y51" t="n">
        <v>177.28</v>
      </c>
      <c r="Z51" t="n">
        <v>173</v>
      </c>
      <c r="AA51" t="n">
        <v>177.02</v>
      </c>
      <c r="AB51" t="n">
        <v>172.78</v>
      </c>
      <c r="AC51" t="n">
        <v>176.95</v>
      </c>
      <c r="AD51" t="n">
        <v>180.47</v>
      </c>
      <c r="AE51" t="n">
        <v>177.51</v>
      </c>
      <c r="AF51" t="n">
        <v>178.49</v>
      </c>
    </row>
    <row r="52">
      <c r="A52" t="s">
        <v>20</v>
      </c>
      <c r="B52" t="s">
        <v>261</v>
      </c>
      <c r="C52" t="s">
        <v>129</v>
      </c>
      <c r="D52" t="s">
        <v>262</v>
      </c>
      <c r="E52" t="s">
        <v>130</v>
      </c>
      <c r="F52" t="n">
        <v>82.15</v>
      </c>
      <c r="G52" t="n">
        <v>80.03</v>
      </c>
      <c r="H52" t="n">
        <v>84.04</v>
      </c>
      <c r="I52" t="n">
        <v>86.15</v>
      </c>
      <c r="J52" t="n">
        <v>84.51</v>
      </c>
      <c r="K52" t="n">
        <v>84.89</v>
      </c>
      <c r="L52" t="n">
        <v>83.59</v>
      </c>
      <c r="M52" t="n">
        <v>84.73</v>
      </c>
      <c r="N52" t="n">
        <v>93.75</v>
      </c>
      <c r="O52" t="n">
        <v>93.01</v>
      </c>
      <c r="P52" t="n">
        <v>91.63</v>
      </c>
      <c r="Q52" t="n">
        <v>93.58</v>
      </c>
      <c r="R52" t="n">
        <v>90.27</v>
      </c>
      <c r="S52" t="n">
        <v>84.82</v>
      </c>
      <c r="T52" t="n">
        <v>94</v>
      </c>
      <c r="U52" t="n">
        <v>91.88</v>
      </c>
      <c r="V52" t="n">
        <v>91.76</v>
      </c>
      <c r="W52" t="n">
        <v>84.35</v>
      </c>
      <c r="X52" t="n">
        <v>93.91</v>
      </c>
      <c r="Y52" t="n">
        <v>103.82</v>
      </c>
      <c r="Z52" t="n">
        <v>112.7</v>
      </c>
      <c r="AA52" t="n">
        <v>114.72</v>
      </c>
      <c r="AB52" t="n">
        <v>119.26</v>
      </c>
      <c r="AC52" t="n">
        <v>121.52</v>
      </c>
      <c r="AD52" t="n">
        <v>121.98</v>
      </c>
      <c r="AE52" t="n">
        <v>130.33</v>
      </c>
      <c r="AF52" t="n">
        <v>129.13</v>
      </c>
    </row>
    <row r="53">
      <c r="A53" t="s">
        <v>20</v>
      </c>
      <c r="B53" t="s">
        <v>263</v>
      </c>
      <c r="C53" t="s">
        <v>129</v>
      </c>
      <c r="D53" t="s">
        <v>264</v>
      </c>
      <c r="E53" t="s">
        <v>130</v>
      </c>
      <c r="F53" t="n">
        <v>56.22</v>
      </c>
      <c r="G53" t="n">
        <v>49.78</v>
      </c>
      <c r="H53" t="n">
        <v>48.09</v>
      </c>
      <c r="I53" t="n">
        <v>50.54</v>
      </c>
      <c r="J53" t="n">
        <v>49.37</v>
      </c>
      <c r="K53" t="n">
        <v>48.38</v>
      </c>
      <c r="L53" t="n">
        <v>48.98</v>
      </c>
      <c r="M53" t="n">
        <v>51.53</v>
      </c>
      <c r="N53" t="n">
        <v>59.59</v>
      </c>
      <c r="O53" t="n">
        <v>57.26</v>
      </c>
      <c r="P53" t="n">
        <v>57.1</v>
      </c>
      <c r="Q53" t="n">
        <v>58.6</v>
      </c>
      <c r="R53" t="n">
        <v>60.31</v>
      </c>
      <c r="S53" t="n">
        <v>58.47</v>
      </c>
      <c r="T53" t="n">
        <v>51.97</v>
      </c>
      <c r="U53" t="n">
        <v>55.69</v>
      </c>
      <c r="V53" t="n">
        <v>56.21</v>
      </c>
      <c r="W53" t="n">
        <v>50.69</v>
      </c>
      <c r="X53" t="n">
        <v>55.54</v>
      </c>
      <c r="Y53" t="n">
        <v>61.83</v>
      </c>
      <c r="Z53" t="n">
        <v>66.81</v>
      </c>
      <c r="AA53" t="n">
        <v>67.86</v>
      </c>
      <c r="AB53" t="n">
        <v>67.95</v>
      </c>
      <c r="AC53" t="n">
        <v>70.6</v>
      </c>
      <c r="AD53" t="n">
        <v>72.05</v>
      </c>
      <c r="AE53" t="n">
        <v>69.46</v>
      </c>
      <c r="AF53" t="n">
        <v>69.55</v>
      </c>
    </row>
    <row r="54">
      <c r="A54" t="s">
        <v>20</v>
      </c>
      <c r="B54" t="s">
        <v>265</v>
      </c>
      <c r="C54" t="s">
        <v>129</v>
      </c>
      <c r="D54" t="s">
        <v>266</v>
      </c>
      <c r="E54" t="s">
        <v>130</v>
      </c>
      <c r="F54" t="n">
        <v>118.47</v>
      </c>
      <c r="G54" t="n">
        <v>108.61</v>
      </c>
      <c r="H54" t="n">
        <v>110.24</v>
      </c>
      <c r="I54" t="n">
        <v>115.7</v>
      </c>
      <c r="J54" t="n">
        <v>111.44</v>
      </c>
      <c r="K54" t="n">
        <v>105.59</v>
      </c>
      <c r="L54" t="n">
        <v>103.09</v>
      </c>
      <c r="M54" t="n">
        <v>107.1</v>
      </c>
      <c r="N54" t="n">
        <v>117.17</v>
      </c>
      <c r="O54" t="n">
        <v>116.84</v>
      </c>
      <c r="P54" t="n">
        <v>126.21</v>
      </c>
      <c r="Q54" t="n">
        <v>125.55</v>
      </c>
      <c r="R54" t="n">
        <v>136.07</v>
      </c>
      <c r="S54" t="n">
        <v>131.34</v>
      </c>
      <c r="T54" t="n">
        <v>110.16</v>
      </c>
      <c r="U54" t="n">
        <v>113.05</v>
      </c>
      <c r="V54" t="n">
        <v>117.81</v>
      </c>
      <c r="W54" t="n">
        <v>115.42</v>
      </c>
      <c r="X54" t="n">
        <v>132.14</v>
      </c>
      <c r="Y54" t="n">
        <v>137.61</v>
      </c>
      <c r="Z54" t="n">
        <v>146.94</v>
      </c>
      <c r="AA54" t="n">
        <v>141.96</v>
      </c>
      <c r="AB54" t="n">
        <v>142.63</v>
      </c>
      <c r="AC54" t="n">
        <v>144.32</v>
      </c>
      <c r="AD54" t="n">
        <v>151.41</v>
      </c>
      <c r="AE54" t="n">
        <v>156.22</v>
      </c>
      <c r="AF54" t="n">
        <v>158.3</v>
      </c>
    </row>
    <row r="55">
      <c r="A55" t="s">
        <v>20</v>
      </c>
      <c r="B55" t="s">
        <v>267</v>
      </c>
      <c r="C55" t="s">
        <v>129</v>
      </c>
      <c r="D55" t="s">
        <v>268</v>
      </c>
      <c r="E55" t="s">
        <v>130</v>
      </c>
      <c r="F55" t="n">
        <v>62.25</v>
      </c>
      <c r="G55" t="n">
        <v>58.83</v>
      </c>
      <c r="H55" t="n">
        <v>62.15</v>
      </c>
      <c r="I55" t="n">
        <v>65.16</v>
      </c>
      <c r="J55" t="n">
        <v>62.07</v>
      </c>
      <c r="K55" t="n">
        <v>57.21</v>
      </c>
      <c r="L55" t="n">
        <v>54.11</v>
      </c>
      <c r="M55" t="n">
        <v>55.57</v>
      </c>
      <c r="N55" t="n">
        <v>57.58</v>
      </c>
      <c r="O55" t="n">
        <v>59.58</v>
      </c>
      <c r="P55" t="n">
        <v>69.11</v>
      </c>
      <c r="Q55" t="n">
        <v>66.95</v>
      </c>
      <c r="R55" t="n">
        <v>75.76</v>
      </c>
      <c r="S55" t="n">
        <v>72.87</v>
      </c>
      <c r="T55" t="n">
        <v>58.19</v>
      </c>
      <c r="U55" t="n">
        <v>57.36</v>
      </c>
      <c r="V55" t="n">
        <v>61.6</v>
      </c>
      <c r="W55" t="n">
        <v>64.73</v>
      </c>
      <c r="X55" t="n">
        <v>76.6</v>
      </c>
      <c r="Y55" t="n">
        <v>75.78</v>
      </c>
      <c r="Z55" t="n">
        <v>80.13</v>
      </c>
      <c r="AA55" t="n">
        <v>74.1</v>
      </c>
      <c r="AB55" t="n">
        <v>74.68</v>
      </c>
      <c r="AC55" t="n">
        <v>73.72</v>
      </c>
      <c r="AD55" t="n">
        <v>79.36</v>
      </c>
      <c r="AE55" t="n">
        <v>86.76</v>
      </c>
      <c r="AF55" t="n">
        <v>88.75</v>
      </c>
    </row>
    <row r="56">
      <c r="A56" t="s">
        <v>20</v>
      </c>
      <c r="B56" t="s">
        <v>269</v>
      </c>
      <c r="C56" t="s">
        <v>129</v>
      </c>
      <c r="D56" t="s">
        <v>270</v>
      </c>
      <c r="E56" t="s">
        <v>130</v>
      </c>
      <c r="F56" t="n">
        <v>3.56</v>
      </c>
      <c r="G56" t="n">
        <v>4.54</v>
      </c>
      <c r="H56" t="n">
        <v>6.36</v>
      </c>
      <c r="I56" t="n">
        <v>7.87</v>
      </c>
      <c r="J56" t="n">
        <v>8.94</v>
      </c>
      <c r="K56" t="n">
        <v>9.4</v>
      </c>
      <c r="L56" t="n">
        <v>7.98</v>
      </c>
      <c r="M56" t="n">
        <v>7.13</v>
      </c>
      <c r="N56" t="n">
        <v>6.44</v>
      </c>
      <c r="O56" t="n">
        <v>6.19</v>
      </c>
      <c r="P56" t="n">
        <v>5.41</v>
      </c>
      <c r="Q56" t="n">
        <v>6.02</v>
      </c>
      <c r="R56" t="n">
        <v>5.49</v>
      </c>
      <c r="S56" t="n">
        <v>4.6</v>
      </c>
      <c r="T56" t="n">
        <v>5.21</v>
      </c>
      <c r="U56" t="n">
        <v>4.89</v>
      </c>
      <c r="V56" t="n">
        <v>5.12</v>
      </c>
      <c r="W56" t="n">
        <v>5.23</v>
      </c>
      <c r="X56" t="n">
        <v>5.05</v>
      </c>
      <c r="Y56" t="n">
        <v>5.05</v>
      </c>
      <c r="Z56" t="n">
        <v>6.94</v>
      </c>
      <c r="AA56" t="n">
        <v>7.2</v>
      </c>
      <c r="AB56" t="n">
        <v>6.35</v>
      </c>
      <c r="AC56" t="n">
        <v>9.02</v>
      </c>
      <c r="AD56" t="n">
        <v>8.15</v>
      </c>
      <c r="AE56" t="n">
        <v>7.85</v>
      </c>
      <c r="AF56" t="n">
        <v>6.92</v>
      </c>
    </row>
    <row r="57">
      <c r="A57" t="s">
        <v>20</v>
      </c>
      <c r="B57" t="s">
        <v>271</v>
      </c>
      <c r="C57" t="s">
        <v>129</v>
      </c>
      <c r="D57" t="s">
        <v>272</v>
      </c>
      <c r="E57" t="s">
        <v>130</v>
      </c>
      <c r="F57" t="n">
        <v>3485.71</v>
      </c>
      <c r="G57" t="n">
        <v>3455.53</v>
      </c>
      <c r="H57" t="n">
        <v>3494.4</v>
      </c>
      <c r="I57" t="n">
        <v>3545.63</v>
      </c>
      <c r="J57" t="n">
        <v>3585.65</v>
      </c>
      <c r="K57" t="n">
        <v>3637.4</v>
      </c>
      <c r="L57" t="n">
        <v>3661.25</v>
      </c>
      <c r="M57" t="n">
        <v>3660.73</v>
      </c>
      <c r="N57" t="n">
        <v>3750.67</v>
      </c>
      <c r="O57" t="n">
        <v>3697.61</v>
      </c>
      <c r="P57" t="n">
        <v>3712.85</v>
      </c>
      <c r="Q57" t="n">
        <v>3758.96</v>
      </c>
      <c r="R57" t="n">
        <v>3746.41</v>
      </c>
      <c r="S57" t="n">
        <v>3644.24</v>
      </c>
      <c r="T57" t="n">
        <v>3638.15</v>
      </c>
      <c r="U57" t="n">
        <v>3603.96</v>
      </c>
      <c r="V57" t="n">
        <v>3588.46</v>
      </c>
      <c r="W57" t="n">
        <v>3622.94</v>
      </c>
      <c r="X57" t="n">
        <v>3728.7</v>
      </c>
      <c r="Y57" t="n">
        <v>3900.99</v>
      </c>
      <c r="Z57" t="n">
        <v>3999.44</v>
      </c>
      <c r="AA57" t="n">
        <v>4130.31</v>
      </c>
      <c r="AB57" t="n">
        <v>4191.34</v>
      </c>
      <c r="AC57" t="n">
        <v>4256.11</v>
      </c>
      <c r="AD57" t="n">
        <v>4282.07</v>
      </c>
      <c r="AE57" t="n">
        <v>4234.56</v>
      </c>
      <c r="AF57" t="n">
        <v>4279.22</v>
      </c>
    </row>
    <row r="58">
      <c r="A58" t="s">
        <v>20</v>
      </c>
      <c r="B58" t="s">
        <v>273</v>
      </c>
      <c r="C58" t="s">
        <v>129</v>
      </c>
      <c r="D58" t="s">
        <v>274</v>
      </c>
      <c r="E58" t="s">
        <v>130</v>
      </c>
      <c r="F58" t="n">
        <v>3482.15</v>
      </c>
      <c r="G58" t="n">
        <v>3450.99</v>
      </c>
      <c r="H58" t="n">
        <v>3488.04</v>
      </c>
      <c r="I58" t="n">
        <v>3537.76</v>
      </c>
      <c r="J58" t="n">
        <v>3576.71</v>
      </c>
      <c r="K58" t="n">
        <v>3628</v>
      </c>
      <c r="L58" t="n">
        <v>3653.27</v>
      </c>
      <c r="M58" t="n">
        <v>3653.6</v>
      </c>
      <c r="N58" t="n">
        <v>3744.23</v>
      </c>
      <c r="O58" t="n">
        <v>3691.42</v>
      </c>
      <c r="P58" t="n">
        <v>3707.44</v>
      </c>
      <c r="Q58" t="n">
        <v>3752.94</v>
      </c>
      <c r="R58" t="n">
        <v>3740.92</v>
      </c>
      <c r="S58" t="n">
        <v>3639.64</v>
      </c>
      <c r="T58" t="n">
        <v>3632.94</v>
      </c>
      <c r="U58" t="n">
        <v>3599.07</v>
      </c>
      <c r="V58" t="n">
        <v>3583.34</v>
      </c>
      <c r="W58" t="n">
        <v>3617.71</v>
      </c>
      <c r="X58" t="n">
        <v>3723.65</v>
      </c>
      <c r="Y58" t="n">
        <v>3895.94</v>
      </c>
      <c r="Z58" t="n">
        <v>3992.5</v>
      </c>
      <c r="AA58" t="n">
        <v>4123.11</v>
      </c>
      <c r="AB58" t="n">
        <v>4184.99</v>
      </c>
      <c r="AC58" t="n">
        <v>4247.09</v>
      </c>
      <c r="AD58" t="n">
        <v>4273.92</v>
      </c>
      <c r="AE58" t="n">
        <v>4226.71</v>
      </c>
      <c r="AF58" t="n">
        <v>4272.3</v>
      </c>
    </row>
    <row r="59">
      <c r="A59" t="s">
        <v>20</v>
      </c>
      <c r="B59" t="s">
        <v>275</v>
      </c>
      <c r="C59" t="s">
        <v>129</v>
      </c>
      <c r="D59" t="s">
        <v>276</v>
      </c>
      <c r="E59" t="s">
        <v>130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>
      <c r="A2" t="s">
        <v>22</v>
      </c>
      <c r="B2" t="s">
        <v>84</v>
      </c>
      <c r="C2" t="s">
        <v>129</v>
      </c>
      <c r="D2" t="s">
        <v>86</v>
      </c>
      <c r="E2" t="s">
        <v>130</v>
      </c>
      <c r="F2" t="n">
        <v>1175428</v>
      </c>
      <c r="G2" t="n">
        <v>1237525</v>
      </c>
      <c r="H2" t="n">
        <v>1193525</v>
      </c>
      <c r="I2" t="n">
        <v>1135800</v>
      </c>
      <c r="J2" t="n">
        <v>1117013</v>
      </c>
      <c r="K2" t="n">
        <v>1040491</v>
      </c>
      <c r="L2" t="n">
        <v>951328</v>
      </c>
      <c r="M2" t="n">
        <v>925060</v>
      </c>
      <c r="N2" t="n">
        <v>784806</v>
      </c>
      <c r="O2" t="n">
        <v>723178</v>
      </c>
      <c r="P2" t="n">
        <v>674509</v>
      </c>
      <c r="Q2" t="n">
        <v>653224</v>
      </c>
      <c r="R2" t="n">
        <v>616297</v>
      </c>
      <c r="S2" t="n">
        <v>576351</v>
      </c>
      <c r="T2" t="n">
        <v>536317</v>
      </c>
      <c r="U2" t="n">
        <v>530217</v>
      </c>
      <c r="V2" t="n">
        <v>527923</v>
      </c>
      <c r="W2" t="n">
        <v>557359</v>
      </c>
      <c r="X2" t="n">
        <v>533129</v>
      </c>
      <c r="Y2" t="n">
        <v>535819</v>
      </c>
      <c r="Z2" t="n">
        <v>516846</v>
      </c>
      <c r="AA2" t="n">
        <v>534355</v>
      </c>
      <c r="AB2" t="n">
        <v>520641</v>
      </c>
      <c r="AC2" t="n">
        <v>495164</v>
      </c>
      <c r="AD2" t="n">
        <v>467319</v>
      </c>
      <c r="AE2" t="n">
        <v>448255</v>
      </c>
      <c r="AF2" t="n">
        <v>403258</v>
      </c>
    </row>
    <row r="3">
      <c r="A3" t="s">
        <v>22</v>
      </c>
      <c r="B3" t="s">
        <v>163</v>
      </c>
      <c r="C3" t="s">
        <v>129</v>
      </c>
      <c r="D3" t="s">
        <v>164</v>
      </c>
      <c r="E3" t="s">
        <v>130</v>
      </c>
      <c r="F3" t="n">
        <v>58896</v>
      </c>
      <c r="G3" t="n">
        <v>56871</v>
      </c>
      <c r="H3" t="n">
        <v>46513</v>
      </c>
      <c r="I3" t="n">
        <v>44160</v>
      </c>
      <c r="J3" t="n">
        <v>38230</v>
      </c>
      <c r="K3" t="n">
        <v>32220</v>
      </c>
      <c r="L3" t="n">
        <v>21212</v>
      </c>
      <c r="M3" t="n">
        <v>23735</v>
      </c>
      <c r="N3" t="n">
        <v>20509</v>
      </c>
      <c r="O3" t="n">
        <v>22734</v>
      </c>
      <c r="P3" t="n">
        <v>22982</v>
      </c>
      <c r="Q3" t="n">
        <v>22714</v>
      </c>
      <c r="R3" t="n">
        <v>21262</v>
      </c>
      <c r="S3" t="n">
        <v>14160</v>
      </c>
      <c r="T3" t="n">
        <v>13449</v>
      </c>
      <c r="U3" t="n">
        <v>16847</v>
      </c>
      <c r="V3" t="n">
        <v>14519</v>
      </c>
      <c r="W3" t="n">
        <v>12761</v>
      </c>
      <c r="X3" t="n">
        <v>8606</v>
      </c>
      <c r="Y3" t="n">
        <v>11209</v>
      </c>
      <c r="Z3" t="n">
        <v>10644</v>
      </c>
      <c r="AA3" t="n">
        <v>9759</v>
      </c>
      <c r="AB3" t="n">
        <v>10525</v>
      </c>
      <c r="AC3" t="n">
        <v>10997</v>
      </c>
      <c r="AD3" t="n">
        <v>11495</v>
      </c>
      <c r="AE3" t="n">
        <v>8455</v>
      </c>
      <c r="AF3" t="n">
        <v>8279</v>
      </c>
    </row>
    <row r="4">
      <c r="A4" t="s">
        <v>22</v>
      </c>
      <c r="B4" t="s">
        <v>165</v>
      </c>
      <c r="C4" t="s">
        <v>129</v>
      </c>
      <c r="D4" t="s">
        <v>166</v>
      </c>
      <c r="E4" t="s">
        <v>130</v>
      </c>
      <c r="F4" t="n">
        <v>1504537</v>
      </c>
      <c r="G4" t="n">
        <v>1506353</v>
      </c>
      <c r="H4" t="n">
        <v>1589453</v>
      </c>
      <c r="I4" t="n">
        <v>1679405</v>
      </c>
      <c r="J4" t="n">
        <v>1741901</v>
      </c>
      <c r="K4" t="n">
        <v>1738152</v>
      </c>
      <c r="L4" t="n">
        <v>1716057</v>
      </c>
      <c r="M4" t="n">
        <v>1711513</v>
      </c>
      <c r="N4" t="n">
        <v>1685910</v>
      </c>
      <c r="O4" t="n">
        <v>1608089</v>
      </c>
      <c r="P4" t="n">
        <v>1579481</v>
      </c>
      <c r="Q4" t="n">
        <v>1568752</v>
      </c>
      <c r="R4" t="n">
        <v>1529291</v>
      </c>
      <c r="S4" t="n">
        <v>1493826</v>
      </c>
      <c r="T4" t="n">
        <v>1323286</v>
      </c>
      <c r="U4" t="n">
        <v>1321806</v>
      </c>
      <c r="V4" t="n">
        <v>1318518</v>
      </c>
      <c r="W4" t="n">
        <v>1351981</v>
      </c>
      <c r="X4" t="n">
        <v>1318705</v>
      </c>
      <c r="Y4" t="n">
        <v>1349720</v>
      </c>
      <c r="Z4" t="n">
        <v>1350403</v>
      </c>
      <c r="AA4" t="n">
        <v>1413611</v>
      </c>
      <c r="AB4" t="n">
        <v>1472990</v>
      </c>
      <c r="AC4" t="n">
        <v>1506030</v>
      </c>
      <c r="AD4" t="n">
        <v>1510504</v>
      </c>
      <c r="AE4" t="n">
        <v>1365437</v>
      </c>
      <c r="AF4" t="n">
        <v>1434622</v>
      </c>
    </row>
    <row r="5">
      <c r="A5" t="s">
        <v>22</v>
      </c>
      <c r="B5" t="s">
        <v>167</v>
      </c>
      <c r="C5" t="s">
        <v>129</v>
      </c>
      <c r="D5" t="s">
        <v>168</v>
      </c>
      <c r="E5" t="s">
        <v>130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 t="n">
        <v>199310</v>
      </c>
      <c r="V5" t="n">
        <v>197273</v>
      </c>
      <c r="W5" t="n">
        <v>210355</v>
      </c>
      <c r="X5" t="n">
        <v>194776</v>
      </c>
      <c r="Y5" t="n">
        <v>205044</v>
      </c>
      <c r="Z5" t="n">
        <v>210420</v>
      </c>
      <c r="AA5" t="n">
        <v>221333</v>
      </c>
      <c r="AB5" t="n">
        <v>216625</v>
      </c>
      <c r="AC5" t="n">
        <v>210213</v>
      </c>
      <c r="AD5" t="n">
        <v>207577</v>
      </c>
      <c r="AE5" t="n">
        <v>202433</v>
      </c>
      <c r="AF5" t="n">
        <v>208046</v>
      </c>
    </row>
    <row r="6">
      <c r="A6" t="s">
        <v>22</v>
      </c>
      <c r="B6" t="s">
        <v>169</v>
      </c>
      <c r="C6" t="s">
        <v>129</v>
      </c>
      <c r="D6" t="s">
        <v>170</v>
      </c>
      <c r="E6" t="s">
        <v>130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 t="n">
        <v>104743</v>
      </c>
      <c r="V6" t="n">
        <v>99356</v>
      </c>
      <c r="W6" t="n">
        <v>102377</v>
      </c>
      <c r="X6" t="n">
        <v>84565</v>
      </c>
      <c r="Y6" t="n">
        <v>85262</v>
      </c>
      <c r="Z6" t="n">
        <v>85665</v>
      </c>
      <c r="AA6" t="n">
        <v>87309</v>
      </c>
      <c r="AB6" t="n">
        <v>85683</v>
      </c>
      <c r="AC6" t="n">
        <v>79358</v>
      </c>
      <c r="AD6" t="n">
        <v>79549</v>
      </c>
      <c r="AE6" t="n">
        <v>60667</v>
      </c>
      <c r="AF6" t="n">
        <v>64771</v>
      </c>
    </row>
    <row r="7">
      <c r="A7" t="s">
        <v>22</v>
      </c>
      <c r="B7" t="s">
        <v>171</v>
      </c>
      <c r="C7" t="s">
        <v>129</v>
      </c>
      <c r="D7" t="s">
        <v>172</v>
      </c>
      <c r="E7" t="s">
        <v>130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 t="n">
        <v>94973</v>
      </c>
      <c r="V7" t="n">
        <v>86712</v>
      </c>
      <c r="W7" t="n">
        <v>88034</v>
      </c>
      <c r="X7" t="n">
        <v>81255</v>
      </c>
      <c r="Y7" t="n">
        <v>89573</v>
      </c>
      <c r="Z7" t="n">
        <v>78858</v>
      </c>
      <c r="AA7" t="n">
        <v>86119</v>
      </c>
      <c r="AB7" t="n">
        <v>89636</v>
      </c>
      <c r="AC7" t="n">
        <v>89631</v>
      </c>
      <c r="AD7" t="n">
        <v>88918</v>
      </c>
      <c r="AE7" t="n">
        <v>80705</v>
      </c>
      <c r="AF7" t="n">
        <v>89661</v>
      </c>
    </row>
    <row r="8">
      <c r="A8" t="s">
        <v>22</v>
      </c>
      <c r="B8" t="s">
        <v>173</v>
      </c>
      <c r="C8" t="s">
        <v>129</v>
      </c>
      <c r="D8" t="s">
        <v>174</v>
      </c>
      <c r="E8" t="s">
        <v>130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 t="n">
        <v>11838</v>
      </c>
      <c r="V8" t="n">
        <v>11656</v>
      </c>
      <c r="W8" t="n">
        <v>11832</v>
      </c>
      <c r="X8" t="n">
        <v>10675</v>
      </c>
      <c r="Y8" t="n">
        <v>13150</v>
      </c>
      <c r="Z8" t="n">
        <v>12730</v>
      </c>
      <c r="AA8" t="n">
        <v>12086</v>
      </c>
      <c r="AB8" t="n">
        <v>12432</v>
      </c>
      <c r="AC8" t="n">
        <v>13144</v>
      </c>
      <c r="AD8" t="n">
        <v>12198</v>
      </c>
      <c r="AE8" t="n">
        <v>11026</v>
      </c>
      <c r="AF8" t="n">
        <v>11633</v>
      </c>
    </row>
    <row r="9">
      <c r="A9" t="s">
        <v>22</v>
      </c>
      <c r="B9" t="s">
        <v>175</v>
      </c>
      <c r="C9" t="s">
        <v>129</v>
      </c>
      <c r="D9" t="s">
        <v>176</v>
      </c>
      <c r="E9" t="s">
        <v>130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 t="n">
        <v>36057</v>
      </c>
      <c r="V9" t="n">
        <v>32043</v>
      </c>
      <c r="W9" t="n">
        <v>30720</v>
      </c>
      <c r="X9" t="n">
        <v>25192</v>
      </c>
      <c r="Y9" t="n">
        <v>26713</v>
      </c>
      <c r="Z9" t="n">
        <v>28237</v>
      </c>
      <c r="AA9" t="n">
        <v>27008</v>
      </c>
      <c r="AB9" t="n">
        <v>28935</v>
      </c>
      <c r="AC9" t="n">
        <v>28450</v>
      </c>
      <c r="AD9" t="n">
        <v>31015</v>
      </c>
      <c r="AE9" t="n">
        <v>34724</v>
      </c>
      <c r="AF9" t="n">
        <v>36299</v>
      </c>
    </row>
    <row r="10">
      <c r="A10" t="s">
        <v>22</v>
      </c>
      <c r="B10" t="s">
        <v>177</v>
      </c>
      <c r="C10" t="s">
        <v>129</v>
      </c>
      <c r="D10" t="s">
        <v>178</v>
      </c>
      <c r="E10" t="s">
        <v>130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 t="n">
        <v>75498</v>
      </c>
      <c r="V10" t="n">
        <v>74066</v>
      </c>
      <c r="W10" t="n">
        <v>74012</v>
      </c>
      <c r="X10" t="n">
        <v>60785</v>
      </c>
      <c r="Y10" t="n">
        <v>62781</v>
      </c>
      <c r="Z10" t="n">
        <v>64644</v>
      </c>
      <c r="AA10" t="n">
        <v>61382</v>
      </c>
      <c r="AB10" t="n">
        <v>66066</v>
      </c>
      <c r="AC10" t="n">
        <v>65424</v>
      </c>
      <c r="AD10" t="n">
        <v>66037</v>
      </c>
      <c r="AE10" t="n">
        <v>77912</v>
      </c>
      <c r="AF10" t="n">
        <v>79938</v>
      </c>
    </row>
    <row r="11">
      <c r="A11" t="s">
        <v>22</v>
      </c>
      <c r="B11" t="s">
        <v>179</v>
      </c>
      <c r="C11" t="s">
        <v>129</v>
      </c>
      <c r="D11" t="s">
        <v>180</v>
      </c>
      <c r="E11" t="s">
        <v>130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 t="n">
        <v>39441</v>
      </c>
      <c r="V11" t="n">
        <v>42023</v>
      </c>
      <c r="W11" t="n">
        <v>43292</v>
      </c>
      <c r="X11" t="n">
        <v>35593</v>
      </c>
      <c r="Y11" t="n">
        <v>36068</v>
      </c>
      <c r="Z11" t="n">
        <v>36407</v>
      </c>
      <c r="AA11" t="n">
        <v>34374</v>
      </c>
      <c r="AB11" t="n">
        <v>37131</v>
      </c>
      <c r="AC11" t="n">
        <v>36974</v>
      </c>
      <c r="AD11" t="n">
        <v>35022</v>
      </c>
      <c r="AE11" t="n">
        <v>43188</v>
      </c>
      <c r="AF11" t="n">
        <v>43639</v>
      </c>
    </row>
    <row r="12">
      <c r="A12" t="s">
        <v>22</v>
      </c>
      <c r="B12" t="s">
        <v>181</v>
      </c>
      <c r="C12" t="s">
        <v>129</v>
      </c>
      <c r="D12" t="s">
        <v>182</v>
      </c>
      <c r="E12" t="s">
        <v>130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 t="n">
        <v>125643</v>
      </c>
      <c r="V12" t="n">
        <v>129663</v>
      </c>
      <c r="W12" t="n">
        <v>126544</v>
      </c>
      <c r="X12" t="n">
        <v>114196</v>
      </c>
      <c r="Y12" t="n">
        <v>124421</v>
      </c>
      <c r="Z12" t="n">
        <v>133363</v>
      </c>
      <c r="AA12" t="n">
        <v>135299</v>
      </c>
      <c r="AB12" t="n">
        <v>144050</v>
      </c>
      <c r="AC12" t="n">
        <v>146398</v>
      </c>
      <c r="AD12" t="n">
        <v>147558</v>
      </c>
      <c r="AE12" t="n">
        <v>130743</v>
      </c>
      <c r="AF12" t="n">
        <v>142142</v>
      </c>
    </row>
    <row r="13">
      <c r="A13" t="s">
        <v>22</v>
      </c>
      <c r="B13" t="s">
        <v>183</v>
      </c>
      <c r="C13" t="s">
        <v>129</v>
      </c>
      <c r="D13" t="s">
        <v>184</v>
      </c>
      <c r="E13" t="s">
        <v>130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 t="n">
        <v>157668</v>
      </c>
      <c r="V13" t="n">
        <v>165577</v>
      </c>
      <c r="W13" t="n">
        <v>156587</v>
      </c>
      <c r="X13" t="n">
        <v>155567</v>
      </c>
      <c r="Y13" t="n">
        <v>159487</v>
      </c>
      <c r="Z13" t="n">
        <v>165967</v>
      </c>
      <c r="AA13" t="n">
        <v>178688</v>
      </c>
      <c r="AB13" t="n">
        <v>188535</v>
      </c>
      <c r="AC13" t="n">
        <v>195214</v>
      </c>
      <c r="AD13" t="n">
        <v>188607</v>
      </c>
      <c r="AE13" t="n">
        <v>164768</v>
      </c>
      <c r="AF13" t="n">
        <v>177748</v>
      </c>
    </row>
    <row r="14">
      <c r="A14" t="s">
        <v>22</v>
      </c>
      <c r="B14" t="s">
        <v>185</v>
      </c>
      <c r="C14" t="s">
        <v>129</v>
      </c>
      <c r="D14" t="s">
        <v>186</v>
      </c>
      <c r="E14" t="s">
        <v>130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 t="n">
        <v>133151</v>
      </c>
      <c r="V14" t="n">
        <v>138222</v>
      </c>
      <c r="W14" t="n">
        <v>144364</v>
      </c>
      <c r="X14" t="n">
        <v>130629</v>
      </c>
      <c r="Y14" t="n">
        <v>135193</v>
      </c>
      <c r="Z14" t="n">
        <v>121295</v>
      </c>
      <c r="AA14" t="n">
        <v>127207</v>
      </c>
      <c r="AB14" t="n">
        <v>122548</v>
      </c>
      <c r="AC14" t="n">
        <v>128994</v>
      </c>
      <c r="AD14" t="n">
        <v>124608</v>
      </c>
      <c r="AE14" t="n">
        <v>117116</v>
      </c>
      <c r="AF14" t="n">
        <v>111838</v>
      </c>
    </row>
    <row r="15">
      <c r="A15" t="s">
        <v>22</v>
      </c>
      <c r="B15" t="s">
        <v>187</v>
      </c>
      <c r="C15" t="s">
        <v>129</v>
      </c>
      <c r="D15" t="s">
        <v>188</v>
      </c>
      <c r="E15" t="s">
        <v>130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 t="n">
        <v>221278</v>
      </c>
      <c r="V15" t="n">
        <v>220293</v>
      </c>
      <c r="W15" t="n">
        <v>223003</v>
      </c>
      <c r="X15" t="n">
        <v>219168</v>
      </c>
      <c r="Y15" t="n">
        <v>210676</v>
      </c>
      <c r="Z15" t="n">
        <v>193054</v>
      </c>
      <c r="AA15" t="n">
        <v>210360</v>
      </c>
      <c r="AB15" t="n">
        <v>212517</v>
      </c>
      <c r="AC15" t="n">
        <v>230593</v>
      </c>
      <c r="AD15" t="n">
        <v>228684</v>
      </c>
      <c r="AE15" t="n">
        <v>205909</v>
      </c>
      <c r="AF15" t="n">
        <v>211502</v>
      </c>
    </row>
    <row r="16">
      <c r="A16" t="s">
        <v>22</v>
      </c>
      <c r="B16" t="s">
        <v>189</v>
      </c>
      <c r="C16" t="s">
        <v>129</v>
      </c>
      <c r="D16" t="s">
        <v>190</v>
      </c>
      <c r="E16" t="s">
        <v>130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 t="n">
        <v>88127</v>
      </c>
      <c r="V16" t="n">
        <v>82071</v>
      </c>
      <c r="W16" t="n">
        <v>78639</v>
      </c>
      <c r="X16" t="n">
        <v>88539</v>
      </c>
      <c r="Y16" t="n">
        <v>75483</v>
      </c>
      <c r="Z16" t="n">
        <v>71759</v>
      </c>
      <c r="AA16" t="n">
        <v>83153</v>
      </c>
      <c r="AB16" t="n">
        <v>89969</v>
      </c>
      <c r="AC16" t="n">
        <v>101599</v>
      </c>
      <c r="AD16" t="n">
        <v>104076</v>
      </c>
      <c r="AE16" t="n">
        <v>88793</v>
      </c>
      <c r="AF16" t="n">
        <v>99664</v>
      </c>
    </row>
    <row r="17">
      <c r="A17" t="s">
        <v>22</v>
      </c>
      <c r="B17" t="s">
        <v>191</v>
      </c>
      <c r="C17" t="s">
        <v>129</v>
      </c>
      <c r="D17" t="s">
        <v>192</v>
      </c>
      <c r="E17" t="s">
        <v>130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 t="n">
        <v>89057</v>
      </c>
      <c r="V17" t="n">
        <v>89398</v>
      </c>
      <c r="W17" t="n">
        <v>79598</v>
      </c>
      <c r="X17" t="n">
        <v>91406</v>
      </c>
      <c r="Y17" t="n">
        <v>104192</v>
      </c>
      <c r="Z17" t="n">
        <v>110620</v>
      </c>
      <c r="AA17" t="n">
        <v>106134</v>
      </c>
      <c r="AB17" t="n">
        <v>113222</v>
      </c>
      <c r="AC17" t="n">
        <v>110914</v>
      </c>
      <c r="AD17" t="n">
        <v>108090</v>
      </c>
      <c r="AE17" t="n">
        <v>107549</v>
      </c>
      <c r="AF17" t="n">
        <v>111628</v>
      </c>
    </row>
    <row r="18">
      <c r="A18" t="s">
        <v>22</v>
      </c>
      <c r="B18" t="s">
        <v>193</v>
      </c>
      <c r="C18" t="s">
        <v>129</v>
      </c>
      <c r="D18" t="s">
        <v>194</v>
      </c>
      <c r="E18" t="s">
        <v>130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 t="n">
        <v>126949</v>
      </c>
      <c r="V18" t="n">
        <v>130107</v>
      </c>
      <c r="W18" t="n">
        <v>166416</v>
      </c>
      <c r="X18" t="n">
        <v>196242</v>
      </c>
      <c r="Y18" t="n">
        <v>174382</v>
      </c>
      <c r="Z18" t="n">
        <v>170331</v>
      </c>
      <c r="AA18" t="n">
        <v>180834</v>
      </c>
      <c r="AB18" t="n">
        <v>199998</v>
      </c>
      <c r="AC18" t="n">
        <v>224733</v>
      </c>
      <c r="AD18" t="n">
        <v>231652</v>
      </c>
      <c r="AE18" t="n">
        <v>187929</v>
      </c>
      <c r="AF18" t="n">
        <v>187131</v>
      </c>
    </row>
    <row r="19">
      <c r="A19" t="s">
        <v>22</v>
      </c>
      <c r="B19" t="s">
        <v>195</v>
      </c>
      <c r="C19" t="s">
        <v>129</v>
      </c>
      <c r="D19" t="s">
        <v>196</v>
      </c>
      <c r="E19" t="s">
        <v>130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 t="n">
        <v>114849</v>
      </c>
      <c r="V19" t="n">
        <v>114417</v>
      </c>
      <c r="W19" t="n">
        <v>113223</v>
      </c>
      <c r="X19" t="n">
        <v>110070</v>
      </c>
      <c r="Y19" t="n">
        <v>120752</v>
      </c>
      <c r="Z19" t="n">
        <v>124751</v>
      </c>
      <c r="AA19" t="n">
        <v>134067</v>
      </c>
      <c r="AB19" t="n">
        <v>144226</v>
      </c>
      <c r="AC19" t="n">
        <v>140408</v>
      </c>
      <c r="AD19" t="n">
        <v>151634</v>
      </c>
      <c r="AE19" t="n">
        <v>135796</v>
      </c>
      <c r="AF19" t="n">
        <v>150422</v>
      </c>
    </row>
    <row r="20">
      <c r="A20" t="s">
        <v>22</v>
      </c>
      <c r="B20" t="s">
        <v>197</v>
      </c>
      <c r="C20" t="s">
        <v>129</v>
      </c>
      <c r="D20" t="s">
        <v>198</v>
      </c>
      <c r="E20" t="s">
        <v>130</v>
      </c>
      <c r="F20" t="n">
        <v>98836</v>
      </c>
      <c r="G20" t="n">
        <v>97082</v>
      </c>
      <c r="H20" t="n">
        <v>105676</v>
      </c>
      <c r="I20" t="n">
        <v>101943</v>
      </c>
      <c r="J20" t="n">
        <v>101540</v>
      </c>
      <c r="K20" t="n">
        <v>90520</v>
      </c>
      <c r="L20" t="n">
        <v>82539</v>
      </c>
      <c r="M20" t="n">
        <v>77426</v>
      </c>
      <c r="N20" t="n">
        <v>70374</v>
      </c>
      <c r="O20" t="n">
        <v>68487</v>
      </c>
      <c r="P20" t="n">
        <v>66255</v>
      </c>
      <c r="Q20" t="n">
        <v>68495</v>
      </c>
      <c r="R20" t="n">
        <v>61994</v>
      </c>
      <c r="S20" t="n">
        <v>61499</v>
      </c>
      <c r="T20" t="n">
        <v>56235</v>
      </c>
      <c r="U20" t="n">
        <v>57074</v>
      </c>
      <c r="V20" t="n">
        <v>50794</v>
      </c>
      <c r="W20" t="n">
        <v>62539</v>
      </c>
      <c r="X20" t="n">
        <v>53844</v>
      </c>
      <c r="Y20" t="n">
        <v>53843</v>
      </c>
      <c r="Z20" t="n">
        <v>50733</v>
      </c>
      <c r="AA20" t="n">
        <v>48876</v>
      </c>
      <c r="AB20" t="n">
        <v>51858</v>
      </c>
      <c r="AC20" t="n">
        <v>50822</v>
      </c>
      <c r="AD20" t="n">
        <v>52413</v>
      </c>
      <c r="AE20" t="n">
        <v>53442</v>
      </c>
      <c r="AF20" t="n">
        <v>57732</v>
      </c>
    </row>
    <row r="21">
      <c r="A21" t="s">
        <v>22</v>
      </c>
      <c r="B21" t="s">
        <v>199</v>
      </c>
      <c r="C21" t="s">
        <v>129</v>
      </c>
      <c r="D21" t="s">
        <v>200</v>
      </c>
      <c r="E21" t="s">
        <v>130</v>
      </c>
      <c r="F21" t="n">
        <v>204134</v>
      </c>
      <c r="G21" t="n">
        <v>189457</v>
      </c>
      <c r="H21" t="n">
        <v>207726</v>
      </c>
      <c r="I21" t="n">
        <v>205807</v>
      </c>
      <c r="J21" t="n">
        <v>194574</v>
      </c>
      <c r="K21" t="n">
        <v>182787</v>
      </c>
      <c r="L21" t="n">
        <v>178876</v>
      </c>
      <c r="M21" t="n">
        <v>168416</v>
      </c>
      <c r="N21" t="n">
        <v>159574</v>
      </c>
      <c r="O21" t="n">
        <v>155294</v>
      </c>
      <c r="P21" t="n">
        <v>157927</v>
      </c>
      <c r="Q21" t="n">
        <v>160163</v>
      </c>
      <c r="R21" t="n">
        <v>144173</v>
      </c>
      <c r="S21" t="n">
        <v>149805</v>
      </c>
      <c r="T21" t="n">
        <v>138078</v>
      </c>
      <c r="U21" t="n">
        <v>142339</v>
      </c>
      <c r="V21" t="n">
        <v>132657</v>
      </c>
      <c r="W21" t="n">
        <v>142783</v>
      </c>
      <c r="X21" t="n">
        <v>134712</v>
      </c>
      <c r="Y21" t="n">
        <v>138605</v>
      </c>
      <c r="Z21" t="n">
        <v>133059</v>
      </c>
      <c r="AA21" t="n">
        <v>130709</v>
      </c>
      <c r="AB21" t="n">
        <v>136766</v>
      </c>
      <c r="AC21" t="n">
        <v>134116</v>
      </c>
      <c r="AD21" t="n">
        <v>137008</v>
      </c>
      <c r="AE21" t="n">
        <v>131391</v>
      </c>
      <c r="AF21" t="n">
        <v>135024</v>
      </c>
    </row>
    <row r="22">
      <c r="A22" t="s">
        <v>22</v>
      </c>
      <c r="B22" t="s">
        <v>201</v>
      </c>
      <c r="C22" t="s">
        <v>129</v>
      </c>
      <c r="D22" t="s">
        <v>202</v>
      </c>
      <c r="E22" t="s">
        <v>130</v>
      </c>
      <c r="F22" t="n">
        <v>105298</v>
      </c>
      <c r="G22" t="n">
        <v>92375</v>
      </c>
      <c r="H22" t="n">
        <v>102050</v>
      </c>
      <c r="I22" t="n">
        <v>103864</v>
      </c>
      <c r="J22" t="n">
        <v>93034</v>
      </c>
      <c r="K22" t="n">
        <v>92267</v>
      </c>
      <c r="L22" t="n">
        <v>96337</v>
      </c>
      <c r="M22" t="n">
        <v>90990</v>
      </c>
      <c r="N22" t="n">
        <v>89200</v>
      </c>
      <c r="O22" t="n">
        <v>86807</v>
      </c>
      <c r="P22" t="n">
        <v>91672</v>
      </c>
      <c r="Q22" t="n">
        <v>91668</v>
      </c>
      <c r="R22" t="n">
        <v>82179</v>
      </c>
      <c r="S22" t="n">
        <v>88306</v>
      </c>
      <c r="T22" t="n">
        <v>81843</v>
      </c>
      <c r="U22" t="n">
        <v>85265</v>
      </c>
      <c r="V22" t="n">
        <v>81863</v>
      </c>
      <c r="W22" t="n">
        <v>80244</v>
      </c>
      <c r="X22" t="n">
        <v>80868</v>
      </c>
      <c r="Y22" t="n">
        <v>84762</v>
      </c>
      <c r="Z22" t="n">
        <v>82326</v>
      </c>
      <c r="AA22" t="n">
        <v>81833</v>
      </c>
      <c r="AB22" t="n">
        <v>84908</v>
      </c>
      <c r="AC22" t="n">
        <v>83294</v>
      </c>
      <c r="AD22" t="n">
        <v>84595</v>
      </c>
      <c r="AE22" t="n">
        <v>77949</v>
      </c>
      <c r="AF22" t="n">
        <v>77292</v>
      </c>
    </row>
    <row r="23">
      <c r="A23" t="s">
        <v>22</v>
      </c>
      <c r="B23" t="s">
        <v>203</v>
      </c>
      <c r="C23" t="s">
        <v>129</v>
      </c>
      <c r="D23" t="s">
        <v>204</v>
      </c>
      <c r="E23" t="s">
        <v>130</v>
      </c>
      <c r="F23" t="n">
        <v>434675</v>
      </c>
      <c r="G23" t="n">
        <v>424364</v>
      </c>
      <c r="H23" t="n">
        <v>446319</v>
      </c>
      <c r="I23" t="n">
        <v>441458</v>
      </c>
      <c r="J23" t="n">
        <v>492020</v>
      </c>
      <c r="K23" t="n">
        <v>485520</v>
      </c>
      <c r="L23" t="n">
        <v>477352</v>
      </c>
      <c r="M23" t="n">
        <v>483843</v>
      </c>
      <c r="N23" t="n">
        <v>550698</v>
      </c>
      <c r="O23" t="n">
        <v>568702</v>
      </c>
      <c r="P23" t="n">
        <v>559899</v>
      </c>
      <c r="Q23" t="n">
        <v>562686</v>
      </c>
      <c r="R23" t="n">
        <v>574383</v>
      </c>
      <c r="S23" t="n">
        <v>577730</v>
      </c>
      <c r="T23" t="n">
        <v>512103</v>
      </c>
      <c r="U23" t="n">
        <v>470770</v>
      </c>
      <c r="V23" t="n">
        <v>461513</v>
      </c>
      <c r="W23" t="n">
        <v>459166</v>
      </c>
      <c r="X23" t="n">
        <v>443954</v>
      </c>
      <c r="Y23" t="n">
        <v>461673</v>
      </c>
      <c r="Z23" t="n">
        <v>457212</v>
      </c>
      <c r="AA23" t="n">
        <v>485881</v>
      </c>
      <c r="AB23" t="n">
        <v>533662</v>
      </c>
      <c r="AC23" t="n">
        <v>577897</v>
      </c>
      <c r="AD23" t="n">
        <v>618719</v>
      </c>
      <c r="AE23" t="n">
        <v>626557</v>
      </c>
      <c r="AF23" t="n">
        <v>681039</v>
      </c>
    </row>
    <row r="24">
      <c r="A24" t="s">
        <v>22</v>
      </c>
      <c r="B24" t="s">
        <v>205</v>
      </c>
      <c r="C24" t="s">
        <v>129</v>
      </c>
      <c r="D24" t="s">
        <v>206</v>
      </c>
      <c r="E24" t="s">
        <v>130</v>
      </c>
      <c r="F24" t="n">
        <v>889460</v>
      </c>
      <c r="G24" t="n">
        <v>955723</v>
      </c>
      <c r="H24" t="n">
        <v>988227</v>
      </c>
      <c r="I24" t="n">
        <v>934119</v>
      </c>
      <c r="J24" t="n">
        <v>1008035</v>
      </c>
      <c r="K24" t="n">
        <v>1045087</v>
      </c>
      <c r="L24" t="n">
        <v>1045304</v>
      </c>
      <c r="M24" t="n">
        <v>1044875</v>
      </c>
      <c r="N24" t="n">
        <v>1031944</v>
      </c>
      <c r="O24" t="n">
        <v>1048558</v>
      </c>
      <c r="P24" t="n">
        <v>1067518</v>
      </c>
      <c r="Q24" t="n">
        <v>1064000</v>
      </c>
      <c r="R24" t="n">
        <v>1088694</v>
      </c>
      <c r="S24" t="n">
        <v>1069093</v>
      </c>
      <c r="T24" t="n">
        <v>1007093</v>
      </c>
      <c r="U24" t="n">
        <v>1002036</v>
      </c>
      <c r="V24" t="n">
        <v>972408</v>
      </c>
      <c r="W24" t="n">
        <v>945642</v>
      </c>
      <c r="X24" t="n">
        <v>979337</v>
      </c>
      <c r="Y24" t="n">
        <v>1038378</v>
      </c>
      <c r="Z24" t="n">
        <v>1058611</v>
      </c>
      <c r="AA24" t="n">
        <v>1054123</v>
      </c>
      <c r="AB24" t="n">
        <v>1079947</v>
      </c>
      <c r="AC24" t="n">
        <v>1082902</v>
      </c>
      <c r="AD24" t="n">
        <v>1104874</v>
      </c>
      <c r="AE24" t="n">
        <v>1058968</v>
      </c>
      <c r="AF24" t="n">
        <v>1069102</v>
      </c>
    </row>
    <row r="25">
      <c r="A25" t="s">
        <v>22</v>
      </c>
      <c r="B25" t="s">
        <v>207</v>
      </c>
      <c r="C25" t="s">
        <v>129</v>
      </c>
      <c r="D25" t="s">
        <v>208</v>
      </c>
      <c r="E25" t="s">
        <v>130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 t="n">
        <v>136613</v>
      </c>
      <c r="V25" t="n">
        <v>140746</v>
      </c>
      <c r="W25" t="n">
        <v>135364</v>
      </c>
      <c r="X25" t="n">
        <v>137904</v>
      </c>
      <c r="Y25" t="n">
        <v>141964</v>
      </c>
      <c r="Z25" t="n">
        <v>149265</v>
      </c>
      <c r="AA25" t="n">
        <v>157541</v>
      </c>
      <c r="AB25" t="n">
        <v>164564</v>
      </c>
      <c r="AC25" t="n">
        <v>170248</v>
      </c>
      <c r="AD25" t="n">
        <v>181853</v>
      </c>
      <c r="AE25" t="n">
        <v>185788</v>
      </c>
      <c r="AF25" t="n">
        <v>183753</v>
      </c>
    </row>
    <row r="26">
      <c r="A26" t="s">
        <v>22</v>
      </c>
      <c r="B26" t="s">
        <v>209</v>
      </c>
      <c r="C26" t="s">
        <v>129</v>
      </c>
      <c r="D26" t="s">
        <v>210</v>
      </c>
      <c r="E26" t="s">
        <v>130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 t="n">
        <v>278589</v>
      </c>
      <c r="V26" t="n">
        <v>249716</v>
      </c>
      <c r="W26" t="n">
        <v>236612</v>
      </c>
      <c r="X26" t="n">
        <v>258338</v>
      </c>
      <c r="Y26" t="n">
        <v>291517</v>
      </c>
      <c r="Z26" t="n">
        <v>305520</v>
      </c>
      <c r="AA26" t="n">
        <v>303159</v>
      </c>
      <c r="AB26" t="n">
        <v>316875</v>
      </c>
      <c r="AC26" t="n">
        <v>326807</v>
      </c>
      <c r="AD26" t="n">
        <v>327698</v>
      </c>
      <c r="AE26" t="n">
        <v>311969</v>
      </c>
      <c r="AF26" t="n">
        <v>318613</v>
      </c>
    </row>
    <row r="27">
      <c r="A27" t="s">
        <v>22</v>
      </c>
      <c r="B27" t="s">
        <v>211</v>
      </c>
      <c r="C27" t="s">
        <v>129</v>
      </c>
      <c r="D27" t="s">
        <v>212</v>
      </c>
      <c r="E27" t="s">
        <v>130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 t="n">
        <v>586834</v>
      </c>
      <c r="V27" t="n">
        <v>581946</v>
      </c>
      <c r="W27" t="n">
        <v>573666</v>
      </c>
      <c r="X27" t="n">
        <v>583095</v>
      </c>
      <c r="Y27" t="n">
        <v>604897</v>
      </c>
      <c r="Z27" t="n">
        <v>603826</v>
      </c>
      <c r="AA27" t="n">
        <v>593423</v>
      </c>
      <c r="AB27" t="n">
        <v>598508</v>
      </c>
      <c r="AC27" t="n">
        <v>585847</v>
      </c>
      <c r="AD27" t="n">
        <v>595323</v>
      </c>
      <c r="AE27" t="n">
        <v>561211</v>
      </c>
      <c r="AF27" t="n">
        <v>566736</v>
      </c>
    </row>
    <row r="28">
      <c r="A28" t="s">
        <v>22</v>
      </c>
      <c r="B28" t="s">
        <v>213</v>
      </c>
      <c r="C28" t="s">
        <v>129</v>
      </c>
      <c r="D28" t="s">
        <v>214</v>
      </c>
      <c r="E28" t="s">
        <v>130</v>
      </c>
      <c r="F28" t="n">
        <v>531094</v>
      </c>
      <c r="G28" t="n">
        <v>532376</v>
      </c>
      <c r="H28" t="n">
        <v>516250</v>
      </c>
      <c r="I28" t="n">
        <v>508954</v>
      </c>
      <c r="J28" t="n">
        <v>515209</v>
      </c>
      <c r="K28" t="n">
        <v>513777</v>
      </c>
      <c r="L28" t="n">
        <v>509079</v>
      </c>
      <c r="M28" t="n">
        <v>508268</v>
      </c>
      <c r="N28" t="n">
        <v>493661</v>
      </c>
      <c r="O28" t="n">
        <v>499018</v>
      </c>
      <c r="P28" t="n">
        <v>468446</v>
      </c>
      <c r="Q28" t="n">
        <v>482606</v>
      </c>
      <c r="R28" t="n">
        <v>463931</v>
      </c>
      <c r="S28" t="n">
        <v>432588</v>
      </c>
      <c r="T28" t="n">
        <v>442142</v>
      </c>
      <c r="U28" t="n">
        <v>417738</v>
      </c>
      <c r="V28" t="n">
        <v>436471</v>
      </c>
      <c r="W28" t="n">
        <v>454657</v>
      </c>
      <c r="X28" t="n">
        <v>443327</v>
      </c>
      <c r="Y28" t="n">
        <v>443855</v>
      </c>
      <c r="Z28" t="n">
        <v>452262</v>
      </c>
      <c r="AA28" t="n">
        <v>473225</v>
      </c>
      <c r="AB28" t="n">
        <v>485635</v>
      </c>
      <c r="AC28" t="n">
        <v>486179</v>
      </c>
      <c r="AD28" t="n">
        <v>490802</v>
      </c>
      <c r="AE28" t="n">
        <v>430921</v>
      </c>
      <c r="AF28" t="n">
        <v>445363</v>
      </c>
    </row>
    <row r="29">
      <c r="A29" t="s">
        <v>22</v>
      </c>
      <c r="B29" t="s">
        <v>215</v>
      </c>
      <c r="C29" t="s">
        <v>129</v>
      </c>
      <c r="D29" t="s">
        <v>216</v>
      </c>
      <c r="E29" t="s">
        <v>130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 t="n">
        <v>255598</v>
      </c>
      <c r="V29" t="n">
        <v>263059</v>
      </c>
      <c r="W29" t="n">
        <v>253857</v>
      </c>
      <c r="X29" t="n">
        <v>257393</v>
      </c>
      <c r="Y29" t="n">
        <v>261318</v>
      </c>
      <c r="Z29" t="n">
        <v>271429</v>
      </c>
      <c r="AA29" t="n">
        <v>284327</v>
      </c>
      <c r="AB29" t="n">
        <v>292634</v>
      </c>
      <c r="AC29" t="n">
        <v>295149</v>
      </c>
      <c r="AD29" t="n">
        <v>299488</v>
      </c>
      <c r="AE29" t="n">
        <v>262921</v>
      </c>
      <c r="AF29" t="n">
        <v>264139</v>
      </c>
    </row>
    <row r="30">
      <c r="A30" t="s">
        <v>22</v>
      </c>
      <c r="B30" t="s">
        <v>217</v>
      </c>
      <c r="C30" t="s">
        <v>129</v>
      </c>
      <c r="D30" t="s">
        <v>218</v>
      </c>
      <c r="E30" t="s">
        <v>130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 t="n">
        <v>1897</v>
      </c>
      <c r="V30" t="n">
        <v>3238</v>
      </c>
      <c r="W30" t="n">
        <v>3638</v>
      </c>
      <c r="X30" t="n">
        <v>4498</v>
      </c>
      <c r="Y30" t="n">
        <v>3589</v>
      </c>
      <c r="Z30" t="n">
        <v>3538</v>
      </c>
      <c r="AA30" t="n">
        <v>4787</v>
      </c>
      <c r="AB30" t="n">
        <v>4097</v>
      </c>
      <c r="AC30" t="n">
        <v>3893</v>
      </c>
      <c r="AD30" t="n">
        <v>3926</v>
      </c>
      <c r="AE30" t="n">
        <v>3909</v>
      </c>
      <c r="AF30" t="n">
        <v>2783</v>
      </c>
    </row>
    <row r="31">
      <c r="A31" t="s">
        <v>22</v>
      </c>
      <c r="B31" t="s">
        <v>219</v>
      </c>
      <c r="C31" t="s">
        <v>129</v>
      </c>
      <c r="D31" t="s">
        <v>220</v>
      </c>
      <c r="E31" t="s">
        <v>130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 t="n">
        <v>11790</v>
      </c>
      <c r="V31" t="n">
        <v>12835</v>
      </c>
      <c r="W31" t="n">
        <v>5554</v>
      </c>
      <c r="X31" t="n">
        <v>3164</v>
      </c>
      <c r="Y31" t="n">
        <v>2072</v>
      </c>
      <c r="Z31" t="n">
        <v>2047</v>
      </c>
      <c r="AA31" t="n">
        <v>4494</v>
      </c>
      <c r="AB31" t="n">
        <v>2205</v>
      </c>
      <c r="AC31" t="n">
        <v>3784</v>
      </c>
      <c r="AD31" t="n">
        <v>3273</v>
      </c>
      <c r="AE31" t="n">
        <v>1554</v>
      </c>
      <c r="AF31" t="n">
        <v>1485</v>
      </c>
    </row>
    <row r="32">
      <c r="A32" t="s">
        <v>22</v>
      </c>
      <c r="B32" t="s">
        <v>221</v>
      </c>
      <c r="C32" t="s">
        <v>129</v>
      </c>
      <c r="D32" t="s">
        <v>222</v>
      </c>
      <c r="E32" t="s">
        <v>130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 t="n">
        <v>83519</v>
      </c>
      <c r="V32" t="n">
        <v>94317</v>
      </c>
      <c r="W32" t="n">
        <v>112416</v>
      </c>
      <c r="X32" t="n">
        <v>105519</v>
      </c>
      <c r="Y32" t="n">
        <v>105920</v>
      </c>
      <c r="Z32" t="n">
        <v>105127</v>
      </c>
      <c r="AA32" t="n">
        <v>106357</v>
      </c>
      <c r="AB32" t="n">
        <v>110810</v>
      </c>
      <c r="AC32" t="n">
        <v>111170</v>
      </c>
      <c r="AD32" t="n">
        <v>110948</v>
      </c>
      <c r="AE32" t="n">
        <v>97287</v>
      </c>
      <c r="AF32" t="n">
        <v>106965</v>
      </c>
    </row>
    <row r="33">
      <c r="A33" t="s">
        <v>22</v>
      </c>
      <c r="B33" t="s">
        <v>223</v>
      </c>
      <c r="C33" t="s">
        <v>129</v>
      </c>
      <c r="D33" t="s">
        <v>224</v>
      </c>
      <c r="E33" t="s">
        <v>130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 t="n">
        <v>64934</v>
      </c>
      <c r="V33" t="n">
        <v>63022</v>
      </c>
      <c r="W33" t="n">
        <v>79192</v>
      </c>
      <c r="X33" t="n">
        <v>72753</v>
      </c>
      <c r="Y33" t="n">
        <v>70956</v>
      </c>
      <c r="Z33" t="n">
        <v>70121</v>
      </c>
      <c r="AA33" t="n">
        <v>73260</v>
      </c>
      <c r="AB33" t="n">
        <v>75889</v>
      </c>
      <c r="AC33" t="n">
        <v>72183</v>
      </c>
      <c r="AD33" t="n">
        <v>73167</v>
      </c>
      <c r="AE33" t="n">
        <v>65250</v>
      </c>
      <c r="AF33" t="n">
        <v>69991</v>
      </c>
    </row>
    <row r="34">
      <c r="A34" t="s">
        <v>22</v>
      </c>
      <c r="B34" t="s">
        <v>225</v>
      </c>
      <c r="C34" t="s">
        <v>129</v>
      </c>
      <c r="D34" t="s">
        <v>226</v>
      </c>
      <c r="E34" t="s">
        <v>130</v>
      </c>
      <c r="F34" t="n">
        <v>235745</v>
      </c>
      <c r="G34" t="n">
        <v>230056</v>
      </c>
      <c r="H34" t="n">
        <v>248313</v>
      </c>
      <c r="I34" t="n">
        <v>246064</v>
      </c>
      <c r="J34" t="n">
        <v>258098</v>
      </c>
      <c r="K34" t="n">
        <v>258602</v>
      </c>
      <c r="L34" t="n">
        <v>262672</v>
      </c>
      <c r="M34" t="n">
        <v>251139</v>
      </c>
      <c r="N34" t="n">
        <v>255310</v>
      </c>
      <c r="O34" t="n">
        <v>275710</v>
      </c>
      <c r="P34" t="n">
        <v>278784</v>
      </c>
      <c r="Q34" t="n">
        <v>273782</v>
      </c>
      <c r="R34" t="n">
        <v>270348</v>
      </c>
      <c r="S34" t="n">
        <v>272860</v>
      </c>
      <c r="T34" t="n">
        <v>267864</v>
      </c>
      <c r="U34" t="n">
        <v>255294</v>
      </c>
      <c r="V34" t="n">
        <v>272067</v>
      </c>
      <c r="W34" t="n">
        <v>272720</v>
      </c>
      <c r="X34" t="n">
        <v>259904</v>
      </c>
      <c r="Y34" t="n">
        <v>245652</v>
      </c>
      <c r="Z34" t="n">
        <v>256481</v>
      </c>
      <c r="AA34" t="n">
        <v>307210</v>
      </c>
      <c r="AB34" t="n">
        <v>274843</v>
      </c>
      <c r="AC34" t="n">
        <v>276038</v>
      </c>
      <c r="AD34" t="n">
        <v>282267</v>
      </c>
      <c r="AE34" t="n">
        <v>231253</v>
      </c>
      <c r="AF34" t="n">
        <v>256298</v>
      </c>
    </row>
    <row r="35">
      <c r="A35" t="s">
        <v>22</v>
      </c>
      <c r="B35" t="s">
        <v>227</v>
      </c>
      <c r="C35" t="s">
        <v>129</v>
      </c>
      <c r="D35" t="s">
        <v>228</v>
      </c>
      <c r="E35" t="s">
        <v>130</v>
      </c>
      <c r="F35" t="n">
        <v>127278</v>
      </c>
      <c r="G35" t="n">
        <v>123861</v>
      </c>
      <c r="H35" t="n">
        <v>117139</v>
      </c>
      <c r="I35" t="n">
        <v>129110</v>
      </c>
      <c r="J35" t="n">
        <v>131002</v>
      </c>
      <c r="K35" t="n">
        <v>147318</v>
      </c>
      <c r="L35" t="n">
        <v>162656</v>
      </c>
      <c r="M35" t="n">
        <v>159901</v>
      </c>
      <c r="N35" t="n">
        <v>169208</v>
      </c>
      <c r="O35" t="n">
        <v>153484</v>
      </c>
      <c r="P35" t="n">
        <v>159904</v>
      </c>
      <c r="Q35" t="n">
        <v>181109</v>
      </c>
      <c r="R35" t="n">
        <v>176510</v>
      </c>
      <c r="S35" t="n">
        <v>181636</v>
      </c>
      <c r="T35" t="n">
        <v>186242</v>
      </c>
      <c r="U35" t="n">
        <v>174079</v>
      </c>
      <c r="V35" t="n">
        <v>184656</v>
      </c>
      <c r="W35" t="n">
        <v>182307</v>
      </c>
      <c r="X35" t="n">
        <v>195119</v>
      </c>
      <c r="Y35" t="n">
        <v>211312</v>
      </c>
      <c r="Z35" t="n">
        <v>217693</v>
      </c>
      <c r="AA35" t="n">
        <v>232314</v>
      </c>
      <c r="AB35" t="n">
        <v>245580</v>
      </c>
      <c r="AC35" t="n">
        <v>257942</v>
      </c>
      <c r="AD35" t="n">
        <v>271848</v>
      </c>
      <c r="AE35" t="n">
        <v>282123</v>
      </c>
      <c r="AF35" t="n">
        <v>311324</v>
      </c>
    </row>
    <row r="36">
      <c r="A36" t="s">
        <v>22</v>
      </c>
      <c r="B36" t="s">
        <v>229</v>
      </c>
      <c r="C36" t="s">
        <v>129</v>
      </c>
      <c r="D36" t="s">
        <v>230</v>
      </c>
      <c r="E36" t="s">
        <v>130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 t="n">
        <v>61053</v>
      </c>
      <c r="V36" t="n">
        <v>51487</v>
      </c>
      <c r="W36" t="n">
        <v>54029</v>
      </c>
      <c r="X36" t="n">
        <v>57005</v>
      </c>
      <c r="Y36" t="n">
        <v>55323</v>
      </c>
      <c r="Z36" t="n">
        <v>51525</v>
      </c>
      <c r="AA36" t="n">
        <v>53976</v>
      </c>
      <c r="AB36" t="n">
        <v>56038</v>
      </c>
      <c r="AC36" t="n">
        <v>61835</v>
      </c>
      <c r="AD36" t="n">
        <v>66199</v>
      </c>
      <c r="AE36" t="n">
        <v>53987</v>
      </c>
      <c r="AF36" t="n">
        <v>59121</v>
      </c>
    </row>
    <row r="37">
      <c r="A37" t="s">
        <v>22</v>
      </c>
      <c r="B37" t="s">
        <v>231</v>
      </c>
      <c r="C37" t="s">
        <v>129</v>
      </c>
      <c r="D37" t="s">
        <v>232</v>
      </c>
      <c r="E37" t="s">
        <v>130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 t="n">
        <v>29054</v>
      </c>
      <c r="V37" t="n">
        <v>31594</v>
      </c>
      <c r="W37" t="n">
        <v>39028</v>
      </c>
      <c r="X37" t="n">
        <v>38452</v>
      </c>
      <c r="Y37" t="n">
        <v>38916</v>
      </c>
      <c r="Z37" t="n">
        <v>38179</v>
      </c>
      <c r="AA37" t="n">
        <v>35680</v>
      </c>
      <c r="AB37" t="n">
        <v>37060</v>
      </c>
      <c r="AC37" t="n">
        <v>37288</v>
      </c>
      <c r="AD37" t="n">
        <v>35496</v>
      </c>
      <c r="AE37" t="n">
        <v>28465</v>
      </c>
      <c r="AF37" t="n">
        <v>33246</v>
      </c>
    </row>
    <row r="38">
      <c r="A38" t="s">
        <v>22</v>
      </c>
      <c r="B38" t="s">
        <v>233</v>
      </c>
      <c r="C38" t="s">
        <v>129</v>
      </c>
      <c r="D38" t="s">
        <v>234</v>
      </c>
      <c r="E38" t="s">
        <v>130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 t="n">
        <v>83972</v>
      </c>
      <c r="V38" t="n">
        <v>101575</v>
      </c>
      <c r="W38" t="n">
        <v>89250</v>
      </c>
      <c r="X38" t="n">
        <v>99662</v>
      </c>
      <c r="Y38" t="n">
        <v>117073</v>
      </c>
      <c r="Z38" t="n">
        <v>127989</v>
      </c>
      <c r="AA38" t="n">
        <v>142658</v>
      </c>
      <c r="AB38" t="n">
        <v>152482</v>
      </c>
      <c r="AC38" t="n">
        <v>158819</v>
      </c>
      <c r="AD38" t="n">
        <v>170153</v>
      </c>
      <c r="AE38" t="n">
        <v>199671</v>
      </c>
      <c r="AF38" t="n">
        <v>218957</v>
      </c>
    </row>
    <row r="39">
      <c r="A39" t="s">
        <v>22</v>
      </c>
      <c r="B39" t="s">
        <v>235</v>
      </c>
      <c r="C39" t="s">
        <v>129</v>
      </c>
      <c r="D39" t="s">
        <v>236</v>
      </c>
      <c r="E39" t="s">
        <v>130</v>
      </c>
      <c r="F39" t="n">
        <v>155475</v>
      </c>
      <c r="G39" t="n">
        <v>159770</v>
      </c>
      <c r="H39" t="n">
        <v>155665</v>
      </c>
      <c r="I39" t="n">
        <v>155095</v>
      </c>
      <c r="J39" t="n">
        <v>155254</v>
      </c>
      <c r="K39" t="n">
        <v>159930</v>
      </c>
      <c r="L39" t="n">
        <v>149522</v>
      </c>
      <c r="M39" t="n">
        <v>144050</v>
      </c>
      <c r="N39" t="n">
        <v>140358</v>
      </c>
      <c r="O39" t="n">
        <v>154315</v>
      </c>
      <c r="P39" t="n">
        <v>155729</v>
      </c>
      <c r="Q39" t="n">
        <v>159847</v>
      </c>
      <c r="R39" t="n">
        <v>155985</v>
      </c>
      <c r="S39" t="n">
        <v>166748</v>
      </c>
      <c r="T39" t="n">
        <v>159585</v>
      </c>
      <c r="U39" t="n">
        <v>160655</v>
      </c>
      <c r="V39" t="n">
        <v>158004</v>
      </c>
      <c r="W39" t="n">
        <v>166500</v>
      </c>
      <c r="X39" t="n">
        <v>150173</v>
      </c>
      <c r="Y39" t="n">
        <v>147249</v>
      </c>
      <c r="Z39" t="n">
        <v>140510</v>
      </c>
      <c r="AA39" t="n">
        <v>140334</v>
      </c>
      <c r="AB39" t="n">
        <v>146257</v>
      </c>
      <c r="AC39" t="n">
        <v>138904</v>
      </c>
      <c r="AD39" t="n">
        <v>143109</v>
      </c>
      <c r="AE39" t="n">
        <v>139610</v>
      </c>
      <c r="AF39" t="n">
        <v>146516</v>
      </c>
    </row>
    <row r="40">
      <c r="A40" t="s">
        <v>22</v>
      </c>
      <c r="B40" t="s">
        <v>237</v>
      </c>
      <c r="C40" t="s">
        <v>129</v>
      </c>
      <c r="D40" t="s">
        <v>238</v>
      </c>
      <c r="E40" t="s">
        <v>130</v>
      </c>
      <c r="F40" t="n">
        <v>106507</v>
      </c>
      <c r="G40" t="n">
        <v>112096</v>
      </c>
      <c r="H40" t="n">
        <v>112068</v>
      </c>
      <c r="I40" t="n">
        <v>108395</v>
      </c>
      <c r="J40" t="n">
        <v>111672</v>
      </c>
      <c r="K40" t="n">
        <v>110304</v>
      </c>
      <c r="L40" t="n">
        <v>107953</v>
      </c>
      <c r="M40" t="n">
        <v>113848</v>
      </c>
      <c r="N40" t="n">
        <v>114741</v>
      </c>
      <c r="O40" t="n">
        <v>112647</v>
      </c>
      <c r="P40" t="n">
        <v>111645</v>
      </c>
      <c r="Q40" t="n">
        <v>112701</v>
      </c>
      <c r="R40" t="n">
        <v>110331</v>
      </c>
      <c r="S40" t="n">
        <v>117657</v>
      </c>
      <c r="T40" t="n">
        <v>113161</v>
      </c>
      <c r="U40" t="n">
        <v>113767</v>
      </c>
      <c r="V40" t="n">
        <v>114407</v>
      </c>
      <c r="W40" t="n">
        <v>112024</v>
      </c>
      <c r="X40" t="n">
        <v>109884</v>
      </c>
      <c r="Y40" t="n">
        <v>108898</v>
      </c>
      <c r="Z40" t="n">
        <v>109899</v>
      </c>
      <c r="AA40" t="n">
        <v>113924</v>
      </c>
      <c r="AB40" t="n">
        <v>119683</v>
      </c>
      <c r="AC40" t="n">
        <v>129071</v>
      </c>
      <c r="AD40" t="n">
        <v>130434</v>
      </c>
      <c r="AE40" t="n">
        <v>116195</v>
      </c>
      <c r="AF40" t="n">
        <v>122631</v>
      </c>
    </row>
    <row r="41">
      <c r="A41" t="s">
        <v>22</v>
      </c>
      <c r="B41" t="s">
        <v>239</v>
      </c>
      <c r="C41" t="s">
        <v>129</v>
      </c>
      <c r="D41" t="s">
        <v>240</v>
      </c>
      <c r="E41" t="s">
        <v>130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22</v>
      </c>
      <c r="B42" t="s">
        <v>241</v>
      </c>
      <c r="C42" t="s">
        <v>129</v>
      </c>
      <c r="D42" t="s">
        <v>242</v>
      </c>
      <c r="E42" t="s">
        <v>130</v>
      </c>
      <c r="F42" t="n">
        <v>143778</v>
      </c>
      <c r="G42" t="n">
        <v>131629</v>
      </c>
      <c r="H42" t="n">
        <v>159094</v>
      </c>
      <c r="I42" t="n">
        <v>175626</v>
      </c>
      <c r="J42" t="n">
        <v>195460</v>
      </c>
      <c r="K42" t="n">
        <v>217414</v>
      </c>
      <c r="L42" t="n">
        <v>216424</v>
      </c>
      <c r="M42" t="n">
        <v>221526</v>
      </c>
      <c r="N42" t="n">
        <v>248781</v>
      </c>
      <c r="O42" t="n">
        <v>254919</v>
      </c>
      <c r="P42" t="n">
        <v>249091</v>
      </c>
      <c r="Q42" t="n">
        <v>246200</v>
      </c>
      <c r="R42" t="n">
        <v>248153</v>
      </c>
      <c r="S42" t="n">
        <v>276856</v>
      </c>
      <c r="T42" t="n">
        <v>288226</v>
      </c>
      <c r="U42" t="n">
        <v>256938</v>
      </c>
      <c r="V42" t="n">
        <v>255356</v>
      </c>
      <c r="W42" t="n">
        <v>226373</v>
      </c>
      <c r="X42" t="n">
        <v>291418</v>
      </c>
      <c r="Y42" t="n">
        <v>357286</v>
      </c>
      <c r="Z42" t="n">
        <v>381487</v>
      </c>
      <c r="AA42" t="n">
        <v>416716</v>
      </c>
      <c r="AB42" t="n">
        <v>446249</v>
      </c>
      <c r="AC42" t="n">
        <v>444957</v>
      </c>
      <c r="AD42" t="n">
        <v>447221</v>
      </c>
      <c r="AE42" t="n">
        <v>450792</v>
      </c>
      <c r="AF42" t="n">
        <v>479940</v>
      </c>
    </row>
    <row r="43">
      <c r="A43" t="s">
        <v>22</v>
      </c>
      <c r="B43" t="s">
        <v>243</v>
      </c>
      <c r="C43" t="s">
        <v>129</v>
      </c>
      <c r="D43" t="s">
        <v>244</v>
      </c>
      <c r="E43" t="s">
        <v>130</v>
      </c>
      <c r="F43" t="n">
        <v>228124</v>
      </c>
      <c r="G43" t="n">
        <v>216844</v>
      </c>
      <c r="H43" t="n">
        <v>263801</v>
      </c>
      <c r="I43" t="n">
        <v>286939</v>
      </c>
      <c r="J43" t="n">
        <v>317236</v>
      </c>
      <c r="K43" t="n">
        <v>367962</v>
      </c>
      <c r="L43" t="n">
        <v>372756</v>
      </c>
      <c r="M43" t="n">
        <v>379148</v>
      </c>
      <c r="N43" t="n">
        <v>429481</v>
      </c>
      <c r="O43" t="n">
        <v>459158</v>
      </c>
      <c r="P43" t="n">
        <v>464235</v>
      </c>
      <c r="Q43" t="n">
        <v>470120</v>
      </c>
      <c r="R43" t="n">
        <v>477474</v>
      </c>
      <c r="S43" t="n">
        <v>517496</v>
      </c>
      <c r="T43" t="n">
        <v>567614</v>
      </c>
      <c r="U43" t="n">
        <v>575761</v>
      </c>
      <c r="V43" t="n">
        <v>587176</v>
      </c>
      <c r="W43" t="n">
        <v>502974</v>
      </c>
      <c r="X43" t="n">
        <v>577756</v>
      </c>
      <c r="Y43" t="n">
        <v>726034</v>
      </c>
      <c r="Z43" t="n">
        <v>776950</v>
      </c>
      <c r="AA43" t="n">
        <v>808350</v>
      </c>
      <c r="AB43" t="n">
        <v>848881</v>
      </c>
      <c r="AC43" t="n">
        <v>864986</v>
      </c>
      <c r="AD43" t="n">
        <v>871227</v>
      </c>
      <c r="AE43" t="n">
        <v>856473</v>
      </c>
      <c r="AF43" t="n">
        <v>912527</v>
      </c>
    </row>
    <row r="44">
      <c r="A44" t="s">
        <v>22</v>
      </c>
      <c r="B44" t="s">
        <v>245</v>
      </c>
      <c r="C44" t="s">
        <v>129</v>
      </c>
      <c r="D44" t="s">
        <v>246</v>
      </c>
      <c r="E44" t="s">
        <v>130</v>
      </c>
      <c r="F44" t="n">
        <v>5849647</v>
      </c>
      <c r="G44" t="n">
        <v>5918802</v>
      </c>
      <c r="H44" t="n">
        <v>6056819</v>
      </c>
      <c r="I44" t="n">
        <v>6061640</v>
      </c>
      <c r="J44" t="n">
        <v>6258935</v>
      </c>
      <c r="K44" t="n">
        <v>6244334</v>
      </c>
      <c r="L44" t="n">
        <v>6116436</v>
      </c>
      <c r="M44" t="n">
        <v>6064804</v>
      </c>
      <c r="N44" t="n">
        <v>6012085</v>
      </c>
      <c r="O44" t="n">
        <v>5961334</v>
      </c>
      <c r="P44" t="n">
        <v>5879570</v>
      </c>
      <c r="Q44" t="n">
        <v>5885848</v>
      </c>
      <c r="R44" t="n">
        <v>5829345</v>
      </c>
      <c r="S44" t="n">
        <v>5741884</v>
      </c>
      <c r="T44" t="n">
        <v>5411097</v>
      </c>
      <c r="U44" t="n">
        <v>5323610</v>
      </c>
      <c r="V44" t="n">
        <v>5328048</v>
      </c>
      <c r="W44" t="n">
        <v>5304749</v>
      </c>
      <c r="X44" t="n">
        <v>5316596</v>
      </c>
      <c r="Y44" t="n">
        <v>5601940</v>
      </c>
      <c r="Z44" t="n">
        <v>5680425</v>
      </c>
      <c r="AA44" t="n">
        <v>5895547</v>
      </c>
      <c r="AB44" t="n">
        <v>6067928</v>
      </c>
      <c r="AC44" t="n">
        <v>6152864</v>
      </c>
      <c r="AD44" t="n">
        <v>6242389</v>
      </c>
      <c r="AE44" t="n">
        <v>5902814</v>
      </c>
      <c r="AF44" t="n">
        <v>6160951</v>
      </c>
    </row>
    <row r="45">
      <c r="A45" t="s">
        <v>22</v>
      </c>
      <c r="B45" t="s">
        <v>247</v>
      </c>
      <c r="C45" t="s">
        <v>129</v>
      </c>
      <c r="D45" t="s">
        <v>248</v>
      </c>
      <c r="E45" t="s">
        <v>130</v>
      </c>
      <c r="F45" t="n">
        <v>4674219</v>
      </c>
      <c r="G45" t="n">
        <v>4681277</v>
      </c>
      <c r="H45" t="n">
        <v>4863294</v>
      </c>
      <c r="I45" t="n">
        <v>4925840</v>
      </c>
      <c r="J45" t="n">
        <v>5141922</v>
      </c>
      <c r="K45" t="n">
        <v>5203843</v>
      </c>
      <c r="L45" t="n">
        <v>5165108</v>
      </c>
      <c r="M45" t="n">
        <v>5139744</v>
      </c>
      <c r="N45" t="n">
        <v>5227279</v>
      </c>
      <c r="O45" t="n">
        <v>5238156</v>
      </c>
      <c r="P45" t="n">
        <v>5205061</v>
      </c>
      <c r="Q45" t="n">
        <v>5232624</v>
      </c>
      <c r="R45" t="n">
        <v>5213048</v>
      </c>
      <c r="S45" t="n">
        <v>5165533</v>
      </c>
      <c r="T45" t="n">
        <v>4874780</v>
      </c>
      <c r="U45" t="n">
        <v>4793393</v>
      </c>
      <c r="V45" t="n">
        <v>4800125</v>
      </c>
      <c r="W45" t="n">
        <v>4747390</v>
      </c>
      <c r="X45" t="n">
        <v>4783467</v>
      </c>
      <c r="Y45" t="n">
        <v>5066121</v>
      </c>
      <c r="Z45" t="n">
        <v>5163579</v>
      </c>
      <c r="AA45" t="n">
        <v>5361192</v>
      </c>
      <c r="AB45" t="n">
        <v>5547287</v>
      </c>
      <c r="AC45" t="n">
        <v>5657700</v>
      </c>
      <c r="AD45" t="n">
        <v>5775070</v>
      </c>
      <c r="AE45" t="n">
        <v>5454559</v>
      </c>
      <c r="AF45" t="n">
        <v>5757693</v>
      </c>
    </row>
    <row r="46">
      <c r="A46" t="s">
        <v>22</v>
      </c>
      <c r="B46" t="s">
        <v>249</v>
      </c>
      <c r="C46" t="s">
        <v>129</v>
      </c>
      <c r="D46" t="s">
        <v>250</v>
      </c>
      <c r="E46" t="s">
        <v>130</v>
      </c>
      <c r="F46" t="n">
        <v>84346</v>
      </c>
      <c r="G46" t="n">
        <v>85215</v>
      </c>
      <c r="H46" t="n">
        <v>104707</v>
      </c>
      <c r="I46" t="n">
        <v>111313</v>
      </c>
      <c r="J46" t="n">
        <v>121776</v>
      </c>
      <c r="K46" t="n">
        <v>150548</v>
      </c>
      <c r="L46" t="n">
        <v>156332</v>
      </c>
      <c r="M46" t="n">
        <v>157622</v>
      </c>
      <c r="N46" t="n">
        <v>180700</v>
      </c>
      <c r="O46" t="n">
        <v>204239</v>
      </c>
      <c r="P46" t="n">
        <v>215144</v>
      </c>
      <c r="Q46" t="n">
        <v>223920</v>
      </c>
      <c r="R46" t="n">
        <v>229321</v>
      </c>
      <c r="S46" t="n">
        <v>240640</v>
      </c>
      <c r="T46" t="n">
        <v>279388</v>
      </c>
      <c r="U46" t="n">
        <v>318823</v>
      </c>
      <c r="V46" t="n">
        <v>331820</v>
      </c>
      <c r="W46" t="n">
        <v>276601</v>
      </c>
      <c r="X46" t="n">
        <v>286338</v>
      </c>
      <c r="Y46" t="n">
        <v>368748</v>
      </c>
      <c r="Z46" t="n">
        <v>395463</v>
      </c>
      <c r="AA46" t="n">
        <v>391634</v>
      </c>
      <c r="AB46" t="n">
        <v>402632</v>
      </c>
      <c r="AC46" t="n">
        <v>420029</v>
      </c>
      <c r="AD46" t="n">
        <v>424006</v>
      </c>
      <c r="AE46" t="n">
        <v>405681</v>
      </c>
      <c r="AF46" t="n">
        <v>432587</v>
      </c>
    </row>
    <row r="47">
      <c r="A47" t="s">
        <v>22</v>
      </c>
      <c r="B47" t="s">
        <v>251</v>
      </c>
      <c r="C47" t="s">
        <v>129</v>
      </c>
      <c r="D47" t="s">
        <v>252</v>
      </c>
      <c r="E47" t="s">
        <v>130</v>
      </c>
      <c r="F47" t="n">
        <v>582175</v>
      </c>
      <c r="G47" t="n">
        <v>563451</v>
      </c>
      <c r="H47" t="n">
        <v>551076</v>
      </c>
      <c r="I47" t="n">
        <v>546924</v>
      </c>
      <c r="J47" t="n">
        <v>543024</v>
      </c>
      <c r="K47" t="n">
        <v>526128</v>
      </c>
      <c r="L47" t="n">
        <v>547508</v>
      </c>
      <c r="M47" t="n">
        <v>531314</v>
      </c>
      <c r="N47" t="n">
        <v>536160</v>
      </c>
      <c r="O47" t="n">
        <v>531985</v>
      </c>
      <c r="P47" t="n">
        <v>513580</v>
      </c>
      <c r="Q47" t="n">
        <v>497408</v>
      </c>
      <c r="R47" t="n">
        <v>493177</v>
      </c>
      <c r="S47" t="n">
        <v>489845</v>
      </c>
      <c r="T47" t="n">
        <v>533033</v>
      </c>
      <c r="U47" t="n">
        <v>636349</v>
      </c>
      <c r="V47" t="n">
        <v>559780</v>
      </c>
      <c r="W47" t="n">
        <v>600070</v>
      </c>
      <c r="X47" t="n">
        <v>672199</v>
      </c>
      <c r="Y47" t="n">
        <v>714396</v>
      </c>
      <c r="Z47" t="n">
        <v>787866</v>
      </c>
      <c r="AA47" t="n">
        <v>850083</v>
      </c>
      <c r="AB47" t="n">
        <v>760729</v>
      </c>
      <c r="AC47" t="n">
        <v>704221</v>
      </c>
      <c r="AD47" t="n">
        <v>660296</v>
      </c>
      <c r="AE47" t="n">
        <v>694592</v>
      </c>
      <c r="AF47" t="n">
        <v>664288</v>
      </c>
    </row>
    <row r="48">
      <c r="A48" t="s">
        <v>22</v>
      </c>
      <c r="B48" t="s">
        <v>253</v>
      </c>
      <c r="C48" t="s">
        <v>129</v>
      </c>
      <c r="D48" t="s">
        <v>254</v>
      </c>
      <c r="E48" t="s">
        <v>130</v>
      </c>
      <c r="F48" t="n">
        <v>1663220</v>
      </c>
      <c r="G48" t="n">
        <v>1565384</v>
      </c>
      <c r="H48" t="n">
        <v>1535669</v>
      </c>
      <c r="I48" t="n">
        <v>1564568</v>
      </c>
      <c r="J48" t="n">
        <v>1544097</v>
      </c>
      <c r="K48" t="n">
        <v>1528740</v>
      </c>
      <c r="L48" t="n">
        <v>1536756</v>
      </c>
      <c r="M48" t="n">
        <v>1516453</v>
      </c>
      <c r="N48" t="n">
        <v>1605489</v>
      </c>
      <c r="O48" t="n">
        <v>1595524</v>
      </c>
      <c r="P48" t="n">
        <v>1524271</v>
      </c>
      <c r="Q48" t="n">
        <v>1499419</v>
      </c>
      <c r="R48" t="n">
        <v>1406580</v>
      </c>
      <c r="S48" t="n">
        <v>1356565</v>
      </c>
      <c r="T48" t="n">
        <v>1426217</v>
      </c>
      <c r="U48" t="n">
        <v>1490023</v>
      </c>
      <c r="V48" t="n">
        <v>1428288</v>
      </c>
      <c r="W48" t="n">
        <v>1457176</v>
      </c>
      <c r="X48" t="n">
        <v>1531520</v>
      </c>
      <c r="Y48" t="n">
        <v>1619069</v>
      </c>
      <c r="Z48" t="n">
        <v>1704284</v>
      </c>
      <c r="AA48" t="n">
        <v>1797968</v>
      </c>
      <c r="AB48" t="n">
        <v>1694608</v>
      </c>
      <c r="AC48" t="n">
        <v>1665776</v>
      </c>
      <c r="AD48" t="n">
        <v>1618651</v>
      </c>
      <c r="AE48" t="n">
        <v>1619316</v>
      </c>
      <c r="AF48" t="n">
        <v>1613290</v>
      </c>
    </row>
    <row r="49">
      <c r="A49" t="s">
        <v>22</v>
      </c>
      <c r="B49" t="s">
        <v>255</v>
      </c>
      <c r="C49" t="s">
        <v>129</v>
      </c>
      <c r="D49" t="s">
        <v>256</v>
      </c>
      <c r="E49" t="s">
        <v>130</v>
      </c>
      <c r="F49" t="n">
        <v>635396</v>
      </c>
      <c r="G49" t="n">
        <v>571456</v>
      </c>
      <c r="H49" t="n">
        <v>540189</v>
      </c>
      <c r="I49" t="n">
        <v>555964</v>
      </c>
      <c r="J49" t="n">
        <v>549602</v>
      </c>
      <c r="K49" t="n">
        <v>545236</v>
      </c>
      <c r="L49" t="n">
        <v>539928</v>
      </c>
      <c r="M49" t="n">
        <v>542982</v>
      </c>
      <c r="N49" t="n">
        <v>566665</v>
      </c>
      <c r="O49" t="n">
        <v>558777</v>
      </c>
      <c r="P49" t="n">
        <v>522933</v>
      </c>
      <c r="Q49" t="n">
        <v>515736</v>
      </c>
      <c r="R49" t="n">
        <v>455457</v>
      </c>
      <c r="S49" t="n">
        <v>426418</v>
      </c>
      <c r="T49" t="n">
        <v>424305</v>
      </c>
      <c r="U49" t="n">
        <v>421556</v>
      </c>
      <c r="V49" t="n">
        <v>414110</v>
      </c>
      <c r="W49" t="n">
        <v>409349</v>
      </c>
      <c r="X49" t="n">
        <v>395518</v>
      </c>
      <c r="Y49" t="n">
        <v>414454</v>
      </c>
      <c r="Z49" t="n">
        <v>422511</v>
      </c>
      <c r="AA49" t="n">
        <v>437842</v>
      </c>
      <c r="AB49" t="n">
        <v>444761</v>
      </c>
      <c r="AC49" t="n">
        <v>454432</v>
      </c>
      <c r="AD49" t="n">
        <v>457579</v>
      </c>
      <c r="AE49" t="n">
        <v>422437</v>
      </c>
      <c r="AF49" t="n">
        <v>430296</v>
      </c>
    </row>
    <row r="50">
      <c r="A50" t="s">
        <v>22</v>
      </c>
      <c r="B50" t="s">
        <v>257</v>
      </c>
      <c r="C50" t="s">
        <v>129</v>
      </c>
      <c r="D50" t="s">
        <v>258</v>
      </c>
      <c r="E50" t="s">
        <v>130</v>
      </c>
      <c r="F50" t="n">
        <v>445649</v>
      </c>
      <c r="G50" t="n">
        <v>430477</v>
      </c>
      <c r="H50" t="n">
        <v>444404</v>
      </c>
      <c r="I50" t="n">
        <v>461680</v>
      </c>
      <c r="J50" t="n">
        <v>451471</v>
      </c>
      <c r="K50" t="n">
        <v>457376</v>
      </c>
      <c r="L50" t="n">
        <v>449320</v>
      </c>
      <c r="M50" t="n">
        <v>442157</v>
      </c>
      <c r="N50" t="n">
        <v>502664</v>
      </c>
      <c r="O50" t="n">
        <v>504762</v>
      </c>
      <c r="P50" t="n">
        <v>487758</v>
      </c>
      <c r="Q50" t="n">
        <v>486275</v>
      </c>
      <c r="R50" t="n">
        <v>457946</v>
      </c>
      <c r="S50" t="n">
        <v>440302</v>
      </c>
      <c r="T50" t="n">
        <v>468879</v>
      </c>
      <c r="U50" t="n">
        <v>432118</v>
      </c>
      <c r="V50" t="n">
        <v>454398</v>
      </c>
      <c r="W50" t="n">
        <v>447757</v>
      </c>
      <c r="X50" t="n">
        <v>463803</v>
      </c>
      <c r="Y50" t="n">
        <v>490219</v>
      </c>
      <c r="Z50" t="n">
        <v>493907</v>
      </c>
      <c r="AA50" t="n">
        <v>510043</v>
      </c>
      <c r="AB50" t="n">
        <v>489118</v>
      </c>
      <c r="AC50" t="n">
        <v>507123</v>
      </c>
      <c r="AD50" t="n">
        <v>500776</v>
      </c>
      <c r="AE50" t="n">
        <v>502288</v>
      </c>
      <c r="AF50" t="n">
        <v>518705</v>
      </c>
    </row>
    <row r="51">
      <c r="A51" t="s">
        <v>22</v>
      </c>
      <c r="B51" t="s">
        <v>259</v>
      </c>
      <c r="C51" t="s">
        <v>129</v>
      </c>
      <c r="D51" t="s">
        <v>260</v>
      </c>
      <c r="E51" t="s">
        <v>130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 t="n">
        <v>281945</v>
      </c>
      <c r="V51" t="n">
        <v>305552</v>
      </c>
      <c r="W51" t="n">
        <v>309619</v>
      </c>
      <c r="X51" t="n">
        <v>309715</v>
      </c>
      <c r="Y51" t="n">
        <v>315077</v>
      </c>
      <c r="Z51" t="n">
        <v>311851</v>
      </c>
      <c r="AA51" t="n">
        <v>311130</v>
      </c>
      <c r="AB51" t="n">
        <v>301090</v>
      </c>
      <c r="AC51" t="n">
        <v>309284</v>
      </c>
      <c r="AD51" t="n">
        <v>314785</v>
      </c>
      <c r="AE51" t="n">
        <v>303226</v>
      </c>
      <c r="AF51" t="n">
        <v>314899</v>
      </c>
    </row>
    <row r="52">
      <c r="A52" t="s">
        <v>22</v>
      </c>
      <c r="B52" t="s">
        <v>261</v>
      </c>
      <c r="C52" t="s">
        <v>129</v>
      </c>
      <c r="D52" t="s">
        <v>262</v>
      </c>
      <c r="E52" t="s">
        <v>130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 t="n">
        <v>150173</v>
      </c>
      <c r="V52" t="n">
        <v>148846</v>
      </c>
      <c r="W52" t="n">
        <v>138138</v>
      </c>
      <c r="X52" t="n">
        <v>154088</v>
      </c>
      <c r="Y52" t="n">
        <v>175142</v>
      </c>
      <c r="Z52" t="n">
        <v>182056</v>
      </c>
      <c r="AA52" t="n">
        <v>198913</v>
      </c>
      <c r="AB52" t="n">
        <v>188028</v>
      </c>
      <c r="AC52" t="n">
        <v>197839</v>
      </c>
      <c r="AD52" t="n">
        <v>185991</v>
      </c>
      <c r="AE52" t="n">
        <v>199062</v>
      </c>
      <c r="AF52" t="n">
        <v>203806</v>
      </c>
    </row>
    <row r="53">
      <c r="A53" t="s">
        <v>22</v>
      </c>
      <c r="B53" t="s">
        <v>263</v>
      </c>
      <c r="C53" t="s">
        <v>129</v>
      </c>
      <c r="D53" t="s">
        <v>264</v>
      </c>
      <c r="E53" t="s">
        <v>130</v>
      </c>
      <c r="F53" t="n">
        <v>110822</v>
      </c>
      <c r="G53" t="n">
        <v>100425</v>
      </c>
      <c r="H53" t="n">
        <v>97976</v>
      </c>
      <c r="I53" t="n">
        <v>105482</v>
      </c>
      <c r="J53" t="n">
        <v>102843</v>
      </c>
      <c r="K53" t="n">
        <v>106971</v>
      </c>
      <c r="L53" t="n">
        <v>105247</v>
      </c>
      <c r="M53" t="n">
        <v>103881</v>
      </c>
      <c r="N53" t="n">
        <v>118878</v>
      </c>
      <c r="O53" t="n">
        <v>123693</v>
      </c>
      <c r="P53" t="n">
        <v>113013</v>
      </c>
      <c r="Q53" t="n">
        <v>115007</v>
      </c>
      <c r="R53" t="n">
        <v>120567</v>
      </c>
      <c r="S53" t="n">
        <v>114883</v>
      </c>
      <c r="T53" t="n">
        <v>103307</v>
      </c>
      <c r="U53" t="n">
        <v>107855</v>
      </c>
      <c r="V53" t="n">
        <v>107228</v>
      </c>
      <c r="W53" t="n">
        <v>97009</v>
      </c>
      <c r="X53" t="n">
        <v>105579</v>
      </c>
      <c r="Y53" t="n">
        <v>118564</v>
      </c>
      <c r="Z53" t="n">
        <v>129401</v>
      </c>
      <c r="AA53" t="n">
        <v>133071</v>
      </c>
      <c r="AB53" t="n">
        <v>135436</v>
      </c>
      <c r="AC53" t="n">
        <v>138907</v>
      </c>
      <c r="AD53" t="n">
        <v>141987</v>
      </c>
      <c r="AE53" t="n">
        <v>128884</v>
      </c>
      <c r="AF53" t="n">
        <v>138414</v>
      </c>
    </row>
    <row r="54">
      <c r="A54" t="s">
        <v>22</v>
      </c>
      <c r="B54" t="s">
        <v>265</v>
      </c>
      <c r="C54" t="s">
        <v>129</v>
      </c>
      <c r="D54" t="s">
        <v>266</v>
      </c>
      <c r="E54" t="s">
        <v>130</v>
      </c>
      <c r="F54" t="n">
        <v>304801</v>
      </c>
      <c r="G54" t="n">
        <v>285602</v>
      </c>
      <c r="H54" t="n">
        <v>283888</v>
      </c>
      <c r="I54" t="n">
        <v>294729</v>
      </c>
      <c r="J54" t="n">
        <v>290363</v>
      </c>
      <c r="K54" t="n">
        <v>272488</v>
      </c>
      <c r="L54" t="n">
        <v>269622</v>
      </c>
      <c r="M54" t="n">
        <v>264856</v>
      </c>
      <c r="N54" t="n">
        <v>290626</v>
      </c>
      <c r="O54" t="n">
        <v>293094</v>
      </c>
      <c r="P54" t="n">
        <v>290156</v>
      </c>
      <c r="Q54" t="n">
        <v>286845</v>
      </c>
      <c r="R54" t="n">
        <v>310997</v>
      </c>
      <c r="S54" t="n">
        <v>289591</v>
      </c>
      <c r="T54" t="n">
        <v>257324</v>
      </c>
      <c r="U54" t="n">
        <v>256068</v>
      </c>
      <c r="V54" t="n">
        <v>262136</v>
      </c>
      <c r="W54" t="n">
        <v>255899</v>
      </c>
      <c r="X54" t="n">
        <v>271874</v>
      </c>
      <c r="Y54" t="n">
        <v>292434</v>
      </c>
      <c r="Z54" t="n">
        <v>309754</v>
      </c>
      <c r="AA54" t="n">
        <v>305676</v>
      </c>
      <c r="AB54" t="n">
        <v>312201</v>
      </c>
      <c r="AC54" t="n">
        <v>321709</v>
      </c>
      <c r="AD54" t="n">
        <v>333217</v>
      </c>
      <c r="AE54" t="n">
        <v>323371</v>
      </c>
      <c r="AF54" t="n">
        <v>357599</v>
      </c>
    </row>
    <row r="55">
      <c r="A55" t="s">
        <v>22</v>
      </c>
      <c r="B55" t="s">
        <v>267</v>
      </c>
      <c r="C55" t="s">
        <v>129</v>
      </c>
      <c r="D55" t="s">
        <v>268</v>
      </c>
      <c r="E55" t="s">
        <v>130</v>
      </c>
      <c r="F55" t="n">
        <v>193979</v>
      </c>
      <c r="G55" t="n">
        <v>185177</v>
      </c>
      <c r="H55" t="n">
        <v>185912</v>
      </c>
      <c r="I55" t="n">
        <v>189247</v>
      </c>
      <c r="J55" t="n">
        <v>187520</v>
      </c>
      <c r="K55" t="n">
        <v>165517</v>
      </c>
      <c r="L55" t="n">
        <v>164375</v>
      </c>
      <c r="M55" t="n">
        <v>160975</v>
      </c>
      <c r="N55" t="n">
        <v>171748</v>
      </c>
      <c r="O55" t="n">
        <v>169401</v>
      </c>
      <c r="P55" t="n">
        <v>177143</v>
      </c>
      <c r="Q55" t="n">
        <v>171838</v>
      </c>
      <c r="R55" t="n">
        <v>190430</v>
      </c>
      <c r="S55" t="n">
        <v>174708</v>
      </c>
      <c r="T55" t="n">
        <v>154017</v>
      </c>
      <c r="U55" t="n">
        <v>148213</v>
      </c>
      <c r="V55" t="n">
        <v>154908</v>
      </c>
      <c r="W55" t="n">
        <v>158890</v>
      </c>
      <c r="X55" t="n">
        <v>166295</v>
      </c>
      <c r="Y55" t="n">
        <v>173870</v>
      </c>
      <c r="Z55" t="n">
        <v>180353</v>
      </c>
      <c r="AA55" t="n">
        <v>172605</v>
      </c>
      <c r="AB55" t="n">
        <v>176765</v>
      </c>
      <c r="AC55" t="n">
        <v>182802</v>
      </c>
      <c r="AD55" t="n">
        <v>191230</v>
      </c>
      <c r="AE55" t="n">
        <v>194487</v>
      </c>
      <c r="AF55" t="n">
        <v>219185</v>
      </c>
    </row>
    <row r="56">
      <c r="A56" t="s">
        <v>22</v>
      </c>
      <c r="B56" t="s">
        <v>269</v>
      </c>
      <c r="C56" t="s">
        <v>129</v>
      </c>
      <c r="D56" t="s">
        <v>270</v>
      </c>
      <c r="E56" t="s">
        <v>130</v>
      </c>
      <c r="F56" t="n">
        <v>5893</v>
      </c>
      <c r="G56" t="n">
        <v>7677</v>
      </c>
      <c r="H56" t="n">
        <v>11073</v>
      </c>
      <c r="I56" t="n">
        <v>13959</v>
      </c>
      <c r="J56" t="n">
        <v>16015</v>
      </c>
      <c r="K56" t="n">
        <v>16927</v>
      </c>
      <c r="L56" t="n">
        <v>14368</v>
      </c>
      <c r="M56" t="n">
        <v>12834</v>
      </c>
      <c r="N56" t="n">
        <v>11592</v>
      </c>
      <c r="O56" t="n">
        <v>11142</v>
      </c>
      <c r="P56" t="n">
        <v>9738</v>
      </c>
      <c r="Q56" t="n">
        <v>10836</v>
      </c>
      <c r="R56" t="n">
        <v>9882</v>
      </c>
      <c r="S56" t="n">
        <v>8281</v>
      </c>
      <c r="T56" t="n">
        <v>9380</v>
      </c>
      <c r="U56" t="n">
        <v>8671</v>
      </c>
      <c r="V56" t="n">
        <v>9216</v>
      </c>
      <c r="W56" t="n">
        <v>9377</v>
      </c>
      <c r="X56" t="n">
        <v>8856</v>
      </c>
      <c r="Y56" t="n">
        <v>9090</v>
      </c>
      <c r="Z56" t="n">
        <v>12492</v>
      </c>
      <c r="AA56" t="n">
        <v>12960</v>
      </c>
      <c r="AB56" t="n">
        <v>10736</v>
      </c>
      <c r="AC56" t="n">
        <v>16236</v>
      </c>
      <c r="AD56" t="n">
        <v>14670</v>
      </c>
      <c r="AE56" t="n">
        <v>13267</v>
      </c>
      <c r="AF56" t="n">
        <v>11644</v>
      </c>
    </row>
    <row r="57">
      <c r="A57" t="s">
        <v>22</v>
      </c>
      <c r="B57" t="s">
        <v>271</v>
      </c>
      <c r="C57" t="s">
        <v>129</v>
      </c>
      <c r="D57" t="s">
        <v>272</v>
      </c>
      <c r="E57" t="s">
        <v>130</v>
      </c>
      <c r="F57" t="n">
        <v>7625267</v>
      </c>
      <c r="G57" t="n">
        <v>7603959</v>
      </c>
      <c r="H57" t="n">
        <v>7715629</v>
      </c>
      <c r="I57" t="n">
        <v>7748562</v>
      </c>
      <c r="J57" t="n">
        <v>7930719</v>
      </c>
      <c r="K57" t="n">
        <v>7900305</v>
      </c>
      <c r="L57" t="n">
        <v>7775513</v>
      </c>
      <c r="M57" t="n">
        <v>7707939</v>
      </c>
      <c r="N57" t="n">
        <v>7743907</v>
      </c>
      <c r="O57" t="n">
        <v>7680647</v>
      </c>
      <c r="P57" t="n">
        <v>7525224</v>
      </c>
      <c r="Q57" t="n">
        <v>7508804</v>
      </c>
      <c r="R57" t="n">
        <v>7356138</v>
      </c>
      <c r="S57" t="n">
        <v>7224387</v>
      </c>
      <c r="T57" t="n">
        <v>6959855</v>
      </c>
      <c r="U57" t="n">
        <v>6936071</v>
      </c>
      <c r="V57" t="n">
        <v>6879959</v>
      </c>
      <c r="W57" t="n">
        <v>6883326</v>
      </c>
      <c r="X57" t="n">
        <v>6966856</v>
      </c>
      <c r="Y57" t="n">
        <v>7338997</v>
      </c>
      <c r="Z57" t="n">
        <v>7507100</v>
      </c>
      <c r="AA57" t="n">
        <v>7820399</v>
      </c>
      <c r="AB57" t="n">
        <v>7892955</v>
      </c>
      <c r="AC57" t="n">
        <v>7963947</v>
      </c>
      <c r="AD57" t="n">
        <v>8006144</v>
      </c>
      <c r="AE57" t="n">
        <v>7651593</v>
      </c>
      <c r="AF57" t="n">
        <v>7908518</v>
      </c>
    </row>
    <row r="58">
      <c r="A58" t="s">
        <v>22</v>
      </c>
      <c r="B58" t="s">
        <v>273</v>
      </c>
      <c r="C58" t="s">
        <v>129</v>
      </c>
      <c r="D58" t="s">
        <v>274</v>
      </c>
      <c r="E58" t="s">
        <v>130</v>
      </c>
      <c r="F58" t="n">
        <v>7619374</v>
      </c>
      <c r="G58" t="n">
        <v>7596282</v>
      </c>
      <c r="H58" t="n">
        <v>7704556</v>
      </c>
      <c r="I58" t="n">
        <v>7734603</v>
      </c>
      <c r="J58" t="n">
        <v>7914704</v>
      </c>
      <c r="K58" t="n">
        <v>7883378</v>
      </c>
      <c r="L58" t="n">
        <v>7761145</v>
      </c>
      <c r="M58" t="n">
        <v>7695105</v>
      </c>
      <c r="N58" t="n">
        <v>7732315</v>
      </c>
      <c r="O58" t="n">
        <v>7669505</v>
      </c>
      <c r="P58" t="n">
        <v>7515486</v>
      </c>
      <c r="Q58" t="n">
        <v>7497968</v>
      </c>
      <c r="R58" t="n">
        <v>7346256</v>
      </c>
      <c r="S58" t="n">
        <v>7216106</v>
      </c>
      <c r="T58" t="n">
        <v>6950475</v>
      </c>
      <c r="U58" t="n">
        <v>6927400</v>
      </c>
      <c r="V58" t="n">
        <v>6870743</v>
      </c>
      <c r="W58" t="n">
        <v>6873949</v>
      </c>
      <c r="X58" t="n">
        <v>6958000</v>
      </c>
      <c r="Y58" t="n">
        <v>7329907</v>
      </c>
      <c r="Z58" t="n">
        <v>7494608</v>
      </c>
      <c r="AA58" t="n">
        <v>7807439</v>
      </c>
      <c r="AB58" t="n">
        <v>7882219</v>
      </c>
      <c r="AC58" t="n">
        <v>7947711</v>
      </c>
      <c r="AD58" t="n">
        <v>7991474</v>
      </c>
      <c r="AE58" t="n">
        <v>7638326</v>
      </c>
      <c r="AF58" t="n">
        <v>7896871</v>
      </c>
    </row>
    <row r="59">
      <c r="A59" t="s">
        <v>22</v>
      </c>
      <c r="B59" t="s">
        <v>275</v>
      </c>
      <c r="C59" t="s">
        <v>129</v>
      </c>
      <c r="D59" t="s">
        <v>276</v>
      </c>
      <c r="E59" t="s">
        <v>130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>
      <c r="A2" t="s">
        <v>24</v>
      </c>
      <c r="B2" t="s">
        <v>84</v>
      </c>
      <c r="C2" t="s">
        <v>129</v>
      </c>
      <c r="D2" t="s">
        <v>86</v>
      </c>
      <c r="E2" t="s">
        <v>130</v>
      </c>
      <c r="F2" t="n">
        <v>488801</v>
      </c>
      <c r="G2" t="n">
        <v>500911</v>
      </c>
      <c r="H2" t="n">
        <v>463817</v>
      </c>
      <c r="I2" t="n">
        <v>452261</v>
      </c>
      <c r="J2" t="n">
        <v>416740</v>
      </c>
      <c r="K2" t="n">
        <v>371353</v>
      </c>
      <c r="L2" t="n">
        <v>353869</v>
      </c>
      <c r="M2" t="n">
        <v>335856</v>
      </c>
      <c r="N2" t="n">
        <v>314868</v>
      </c>
      <c r="O2" t="n">
        <v>280223</v>
      </c>
      <c r="P2" t="n">
        <v>274999</v>
      </c>
      <c r="Q2" t="n">
        <v>266124</v>
      </c>
      <c r="R2" t="n">
        <v>268639</v>
      </c>
      <c r="S2" t="n">
        <v>247217</v>
      </c>
      <c r="T2" t="n">
        <v>217440</v>
      </c>
      <c r="U2" t="n">
        <v>220859</v>
      </c>
      <c r="V2" t="n">
        <v>212747</v>
      </c>
      <c r="W2" t="n">
        <v>230156</v>
      </c>
      <c r="X2" t="n">
        <v>225233</v>
      </c>
      <c r="Y2" t="n">
        <v>221813</v>
      </c>
      <c r="Z2" t="n">
        <v>218111</v>
      </c>
      <c r="AA2" t="n">
        <v>238653</v>
      </c>
      <c r="AB2" t="n">
        <v>239874</v>
      </c>
      <c r="AC2" t="n">
        <v>234814</v>
      </c>
      <c r="AD2" t="n">
        <v>233260</v>
      </c>
      <c r="AE2" t="n">
        <v>237040</v>
      </c>
      <c r="AF2" t="n">
        <v>209904</v>
      </c>
    </row>
    <row r="3">
      <c r="A3" t="s">
        <v>24</v>
      </c>
      <c r="B3" t="s">
        <v>163</v>
      </c>
      <c r="C3" t="s">
        <v>129</v>
      </c>
      <c r="D3" t="s">
        <v>164</v>
      </c>
      <c r="E3" t="s">
        <v>130</v>
      </c>
      <c r="F3" t="n">
        <v>58896</v>
      </c>
      <c r="G3" t="n">
        <v>56871</v>
      </c>
      <c r="H3" t="n">
        <v>46513</v>
      </c>
      <c r="I3" t="n">
        <v>44160</v>
      </c>
      <c r="J3" t="n">
        <v>38230</v>
      </c>
      <c r="K3" t="n">
        <v>32220</v>
      </c>
      <c r="L3" t="n">
        <v>21212</v>
      </c>
      <c r="M3" t="n">
        <v>23735</v>
      </c>
      <c r="N3" t="n">
        <v>20509</v>
      </c>
      <c r="O3" t="n">
        <v>22734</v>
      </c>
      <c r="P3" t="n">
        <v>22982</v>
      </c>
      <c r="Q3" t="n">
        <v>22557</v>
      </c>
      <c r="R3" t="n">
        <v>21136</v>
      </c>
      <c r="S3" t="n">
        <v>14046</v>
      </c>
      <c r="T3" t="n">
        <v>13383</v>
      </c>
      <c r="U3" t="n">
        <v>16732</v>
      </c>
      <c r="V3" t="n">
        <v>14421</v>
      </c>
      <c r="W3" t="n">
        <v>12662</v>
      </c>
      <c r="X3" t="n">
        <v>8496</v>
      </c>
      <c r="Y3" t="n">
        <v>11119</v>
      </c>
      <c r="Z3" t="n">
        <v>10590</v>
      </c>
      <c r="AA3" t="n">
        <v>9712</v>
      </c>
      <c r="AB3" t="n">
        <v>10469</v>
      </c>
      <c r="AC3" t="n">
        <v>10939</v>
      </c>
      <c r="AD3" t="n">
        <v>11455</v>
      </c>
      <c r="AE3" t="n">
        <v>8420</v>
      </c>
      <c r="AF3" t="n">
        <v>8239</v>
      </c>
    </row>
    <row r="4">
      <c r="A4" t="s">
        <v>24</v>
      </c>
      <c r="B4" t="s">
        <v>165</v>
      </c>
      <c r="C4" t="s">
        <v>129</v>
      </c>
      <c r="D4" t="s">
        <v>166</v>
      </c>
      <c r="E4" t="s">
        <v>130</v>
      </c>
      <c r="F4" t="n">
        <v>1389078</v>
      </c>
      <c r="G4" t="n">
        <v>1391573</v>
      </c>
      <c r="H4" t="n">
        <v>1474596</v>
      </c>
      <c r="I4" t="n">
        <v>1561502</v>
      </c>
      <c r="J4" t="n">
        <v>1615828</v>
      </c>
      <c r="K4" t="n">
        <v>1637873</v>
      </c>
      <c r="L4" t="n">
        <v>1620814</v>
      </c>
      <c r="M4" t="n">
        <v>1618739</v>
      </c>
      <c r="N4" t="n">
        <v>1599256</v>
      </c>
      <c r="O4" t="n">
        <v>1522069</v>
      </c>
      <c r="P4" t="n">
        <v>1499102</v>
      </c>
      <c r="Q4" t="n">
        <v>1489258</v>
      </c>
      <c r="R4" t="n">
        <v>1463949</v>
      </c>
      <c r="S4" t="n">
        <v>1419962</v>
      </c>
      <c r="T4" t="n">
        <v>1274640</v>
      </c>
      <c r="U4" t="n">
        <v>1269816</v>
      </c>
      <c r="V4" t="n">
        <v>1266419</v>
      </c>
      <c r="W4" t="n">
        <v>1304027</v>
      </c>
      <c r="X4" t="n">
        <v>1276388</v>
      </c>
      <c r="Y4" t="n">
        <v>1308345</v>
      </c>
      <c r="Z4" t="n">
        <v>1309713</v>
      </c>
      <c r="AA4" t="n">
        <v>1371297</v>
      </c>
      <c r="AB4" t="n">
        <v>1427259</v>
      </c>
      <c r="AC4" t="n">
        <v>1458918</v>
      </c>
      <c r="AD4" t="n">
        <v>1460193</v>
      </c>
      <c r="AE4" t="n">
        <v>1322618</v>
      </c>
      <c r="AF4" t="n">
        <v>1379234</v>
      </c>
    </row>
    <row r="5">
      <c r="A5" t="s">
        <v>24</v>
      </c>
      <c r="B5" t="s">
        <v>167</v>
      </c>
      <c r="C5" t="s">
        <v>129</v>
      </c>
      <c r="D5" t="s">
        <v>168</v>
      </c>
      <c r="E5" t="s">
        <v>130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 t="n">
        <v>192151</v>
      </c>
      <c r="V5" t="n">
        <v>188405</v>
      </c>
      <c r="W5" t="n">
        <v>202246</v>
      </c>
      <c r="X5" t="n">
        <v>188122</v>
      </c>
      <c r="Y5" t="n">
        <v>198964</v>
      </c>
      <c r="Z5" t="n">
        <v>204004</v>
      </c>
      <c r="AA5" t="n">
        <v>214629</v>
      </c>
      <c r="AB5" t="n">
        <v>209827</v>
      </c>
      <c r="AC5" t="n">
        <v>204248</v>
      </c>
      <c r="AD5" t="n">
        <v>202524</v>
      </c>
      <c r="AE5" t="n">
        <v>196868</v>
      </c>
      <c r="AF5" t="n">
        <v>201679</v>
      </c>
    </row>
    <row r="6">
      <c r="A6" t="s">
        <v>24</v>
      </c>
      <c r="B6" t="s">
        <v>169</v>
      </c>
      <c r="C6" t="s">
        <v>129</v>
      </c>
      <c r="D6" t="s">
        <v>170</v>
      </c>
      <c r="E6" t="s">
        <v>130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 t="n">
        <v>97897</v>
      </c>
      <c r="V6" t="n">
        <v>91088</v>
      </c>
      <c r="W6" t="n">
        <v>94724</v>
      </c>
      <c r="X6" t="n">
        <v>82029</v>
      </c>
      <c r="Y6" t="n">
        <v>82873</v>
      </c>
      <c r="Z6" t="n">
        <v>83283</v>
      </c>
      <c r="AA6" t="n">
        <v>84835</v>
      </c>
      <c r="AB6" t="n">
        <v>83270</v>
      </c>
      <c r="AC6" t="n">
        <v>76784</v>
      </c>
      <c r="AD6" t="n">
        <v>76898</v>
      </c>
      <c r="AE6" t="n">
        <v>58045</v>
      </c>
      <c r="AF6" t="n">
        <v>61675</v>
      </c>
    </row>
    <row r="7">
      <c r="A7" t="s">
        <v>24</v>
      </c>
      <c r="B7" t="s">
        <v>171</v>
      </c>
      <c r="C7" t="s">
        <v>129</v>
      </c>
      <c r="D7" t="s">
        <v>172</v>
      </c>
      <c r="E7" t="s">
        <v>130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 t="n">
        <v>88803</v>
      </c>
      <c r="V7" t="n">
        <v>82781</v>
      </c>
      <c r="W7" t="n">
        <v>83034</v>
      </c>
      <c r="X7" t="n">
        <v>77820</v>
      </c>
      <c r="Y7" t="n">
        <v>86183</v>
      </c>
      <c r="Z7" t="n">
        <v>75290</v>
      </c>
      <c r="AA7" t="n">
        <v>82748</v>
      </c>
      <c r="AB7" t="n">
        <v>86242</v>
      </c>
      <c r="AC7" t="n">
        <v>85518</v>
      </c>
      <c r="AD7" t="n">
        <v>85872</v>
      </c>
      <c r="AE7" t="n">
        <v>77447</v>
      </c>
      <c r="AF7" t="n">
        <v>86090</v>
      </c>
    </row>
    <row r="8">
      <c r="A8" t="s">
        <v>24</v>
      </c>
      <c r="B8" t="s">
        <v>173</v>
      </c>
      <c r="C8" t="s">
        <v>129</v>
      </c>
      <c r="D8" t="s">
        <v>174</v>
      </c>
      <c r="E8" t="s">
        <v>130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 t="n">
        <v>11838</v>
      </c>
      <c r="V8" t="n">
        <v>11656</v>
      </c>
      <c r="W8" t="n">
        <v>11832</v>
      </c>
      <c r="X8" t="n">
        <v>10675</v>
      </c>
      <c r="Y8" t="n">
        <v>13150</v>
      </c>
      <c r="Z8" t="n">
        <v>12730</v>
      </c>
      <c r="AA8" t="n">
        <v>12086</v>
      </c>
      <c r="AB8" t="n">
        <v>12432</v>
      </c>
      <c r="AC8" t="n">
        <v>13144</v>
      </c>
      <c r="AD8" t="n">
        <v>12198</v>
      </c>
      <c r="AE8" t="n">
        <v>11026</v>
      </c>
      <c r="AF8" t="n">
        <v>11633</v>
      </c>
    </row>
    <row r="9">
      <c r="A9" t="s">
        <v>24</v>
      </c>
      <c r="B9" t="s">
        <v>175</v>
      </c>
      <c r="C9" t="s">
        <v>129</v>
      </c>
      <c r="D9" t="s">
        <v>176</v>
      </c>
      <c r="E9" t="s">
        <v>130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 t="n">
        <v>36057</v>
      </c>
      <c r="V9" t="n">
        <v>32043</v>
      </c>
      <c r="W9" t="n">
        <v>30720</v>
      </c>
      <c r="X9" t="n">
        <v>25192</v>
      </c>
      <c r="Y9" t="n">
        <v>26713</v>
      </c>
      <c r="Z9" t="n">
        <v>28237</v>
      </c>
      <c r="AA9" t="n">
        <v>27008</v>
      </c>
      <c r="AB9" t="n">
        <v>28935</v>
      </c>
      <c r="AC9" t="n">
        <v>28450</v>
      </c>
      <c r="AD9" t="n">
        <v>31015</v>
      </c>
      <c r="AE9" t="n">
        <v>34724</v>
      </c>
      <c r="AF9" t="n">
        <v>36299</v>
      </c>
    </row>
    <row r="10">
      <c r="A10" t="s">
        <v>24</v>
      </c>
      <c r="B10" t="s">
        <v>177</v>
      </c>
      <c r="C10" t="s">
        <v>129</v>
      </c>
      <c r="D10" t="s">
        <v>178</v>
      </c>
      <c r="E10" t="s">
        <v>130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 t="n">
        <v>75498</v>
      </c>
      <c r="V10" t="n">
        <v>74066</v>
      </c>
      <c r="W10" t="n">
        <v>74012</v>
      </c>
      <c r="X10" t="n">
        <v>60785</v>
      </c>
      <c r="Y10" t="n">
        <v>62781</v>
      </c>
      <c r="Z10" t="n">
        <v>64644</v>
      </c>
      <c r="AA10" t="n">
        <v>61382</v>
      </c>
      <c r="AB10" t="n">
        <v>66066</v>
      </c>
      <c r="AC10" t="n">
        <v>65424</v>
      </c>
      <c r="AD10" t="n">
        <v>66037</v>
      </c>
      <c r="AE10" t="n">
        <v>77912</v>
      </c>
      <c r="AF10" t="n">
        <v>79938</v>
      </c>
    </row>
    <row r="11">
      <c r="A11" t="s">
        <v>24</v>
      </c>
      <c r="B11" t="s">
        <v>179</v>
      </c>
      <c r="C11" t="s">
        <v>129</v>
      </c>
      <c r="D11" t="s">
        <v>180</v>
      </c>
      <c r="E11" t="s">
        <v>130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 t="n">
        <v>39441</v>
      </c>
      <c r="V11" t="n">
        <v>42023</v>
      </c>
      <c r="W11" t="n">
        <v>43292</v>
      </c>
      <c r="X11" t="n">
        <v>35593</v>
      </c>
      <c r="Y11" t="n">
        <v>36068</v>
      </c>
      <c r="Z11" t="n">
        <v>36407</v>
      </c>
      <c r="AA11" t="n">
        <v>34374</v>
      </c>
      <c r="AB11" t="n">
        <v>37131</v>
      </c>
      <c r="AC11" t="n">
        <v>36974</v>
      </c>
      <c r="AD11" t="n">
        <v>35022</v>
      </c>
      <c r="AE11" t="n">
        <v>43188</v>
      </c>
      <c r="AF11" t="n">
        <v>43639</v>
      </c>
    </row>
    <row r="12">
      <c r="A12" t="s">
        <v>24</v>
      </c>
      <c r="B12" t="s">
        <v>181</v>
      </c>
      <c r="C12" t="s">
        <v>129</v>
      </c>
      <c r="D12" t="s">
        <v>182</v>
      </c>
      <c r="E12" t="s">
        <v>130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 t="n">
        <v>119195</v>
      </c>
      <c r="V12" t="n">
        <v>124717</v>
      </c>
      <c r="W12" t="n">
        <v>122635</v>
      </c>
      <c r="X12" t="n">
        <v>110919</v>
      </c>
      <c r="Y12" t="n">
        <v>120699</v>
      </c>
      <c r="Z12" t="n">
        <v>129472</v>
      </c>
      <c r="AA12" t="n">
        <v>131736</v>
      </c>
      <c r="AB12" t="n">
        <v>140758</v>
      </c>
      <c r="AC12" t="n">
        <v>142959</v>
      </c>
      <c r="AD12" t="n">
        <v>143959</v>
      </c>
      <c r="AE12" t="n">
        <v>128816</v>
      </c>
      <c r="AF12" t="n">
        <v>139193</v>
      </c>
    </row>
    <row r="13">
      <c r="A13" t="s">
        <v>24</v>
      </c>
      <c r="B13" t="s">
        <v>183</v>
      </c>
      <c r="C13" t="s">
        <v>129</v>
      </c>
      <c r="D13" t="s">
        <v>184</v>
      </c>
      <c r="E13" t="s">
        <v>130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 t="n">
        <v>150643</v>
      </c>
      <c r="V13" t="n">
        <v>158303</v>
      </c>
      <c r="W13" t="n">
        <v>150122</v>
      </c>
      <c r="X13" t="n">
        <v>147723</v>
      </c>
      <c r="Y13" t="n">
        <v>151545</v>
      </c>
      <c r="Z13" t="n">
        <v>157387</v>
      </c>
      <c r="AA13" t="n">
        <v>170326</v>
      </c>
      <c r="AB13" t="n">
        <v>179756</v>
      </c>
      <c r="AC13" t="n">
        <v>185777</v>
      </c>
      <c r="AD13" t="n">
        <v>178404</v>
      </c>
      <c r="AE13" t="n">
        <v>159012</v>
      </c>
      <c r="AF13" t="n">
        <v>165927</v>
      </c>
    </row>
    <row r="14">
      <c r="A14" t="s">
        <v>24</v>
      </c>
      <c r="B14" t="s">
        <v>185</v>
      </c>
      <c r="C14" t="s">
        <v>129</v>
      </c>
      <c r="D14" t="s">
        <v>186</v>
      </c>
      <c r="E14" t="s">
        <v>130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 t="n">
        <v>132244</v>
      </c>
      <c r="V14" t="n">
        <v>137490</v>
      </c>
      <c r="W14" t="n">
        <v>143565</v>
      </c>
      <c r="X14" t="n">
        <v>129214</v>
      </c>
      <c r="Y14" t="n">
        <v>133659</v>
      </c>
      <c r="Z14" t="n">
        <v>119601</v>
      </c>
      <c r="AA14" t="n">
        <v>125834</v>
      </c>
      <c r="AB14" t="n">
        <v>121176</v>
      </c>
      <c r="AC14" t="n">
        <v>127653</v>
      </c>
      <c r="AD14" t="n">
        <v>123532</v>
      </c>
      <c r="AE14" t="n">
        <v>115876</v>
      </c>
      <c r="AF14" t="n">
        <v>111186</v>
      </c>
    </row>
    <row r="15">
      <c r="A15" t="s">
        <v>24</v>
      </c>
      <c r="B15" t="s">
        <v>187</v>
      </c>
      <c r="C15" t="s">
        <v>129</v>
      </c>
      <c r="D15" t="s">
        <v>188</v>
      </c>
      <c r="E15" t="s">
        <v>130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 t="n">
        <v>220371</v>
      </c>
      <c r="V15" t="n">
        <v>219561</v>
      </c>
      <c r="W15" t="n">
        <v>222204</v>
      </c>
      <c r="X15" t="n">
        <v>217753</v>
      </c>
      <c r="Y15" t="n">
        <v>209142</v>
      </c>
      <c r="Z15" t="n">
        <v>191360</v>
      </c>
      <c r="AA15" t="n">
        <v>208987</v>
      </c>
      <c r="AB15" t="n">
        <v>211145</v>
      </c>
      <c r="AC15" t="n">
        <v>229252</v>
      </c>
      <c r="AD15" t="n">
        <v>227608</v>
      </c>
      <c r="AE15" t="n">
        <v>204669</v>
      </c>
      <c r="AF15" t="n">
        <v>210850</v>
      </c>
    </row>
    <row r="16">
      <c r="A16" t="s">
        <v>24</v>
      </c>
      <c r="B16" t="s">
        <v>189</v>
      </c>
      <c r="C16" t="s">
        <v>129</v>
      </c>
      <c r="D16" t="s">
        <v>190</v>
      </c>
      <c r="E16" t="s">
        <v>130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 t="n">
        <v>88127</v>
      </c>
      <c r="V16" t="n">
        <v>82071</v>
      </c>
      <c r="W16" t="n">
        <v>78639</v>
      </c>
      <c r="X16" t="n">
        <v>88539</v>
      </c>
      <c r="Y16" t="n">
        <v>75483</v>
      </c>
      <c r="Z16" t="n">
        <v>71759</v>
      </c>
      <c r="AA16" t="n">
        <v>83153</v>
      </c>
      <c r="AB16" t="n">
        <v>89969</v>
      </c>
      <c r="AC16" t="n">
        <v>101599</v>
      </c>
      <c r="AD16" t="n">
        <v>104076</v>
      </c>
      <c r="AE16" t="n">
        <v>88793</v>
      </c>
      <c r="AF16" t="n">
        <v>99664</v>
      </c>
    </row>
    <row r="17">
      <c r="A17" t="s">
        <v>24</v>
      </c>
      <c r="B17" t="s">
        <v>191</v>
      </c>
      <c r="C17" t="s">
        <v>129</v>
      </c>
      <c r="D17" t="s">
        <v>192</v>
      </c>
      <c r="E17" t="s">
        <v>130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 t="n">
        <v>85626</v>
      </c>
      <c r="V17" t="n">
        <v>88148</v>
      </c>
      <c r="W17" t="n">
        <v>78177</v>
      </c>
      <c r="X17" t="n">
        <v>89088</v>
      </c>
      <c r="Y17" t="n">
        <v>101881</v>
      </c>
      <c r="Z17" t="n">
        <v>109221</v>
      </c>
      <c r="AA17" t="n">
        <v>104841</v>
      </c>
      <c r="AB17" t="n">
        <v>110818</v>
      </c>
      <c r="AC17" t="n">
        <v>108806</v>
      </c>
      <c r="AD17" t="n">
        <v>105474</v>
      </c>
      <c r="AE17" t="n">
        <v>104609</v>
      </c>
      <c r="AF17" t="n">
        <v>109186</v>
      </c>
    </row>
    <row r="18">
      <c r="A18" t="s">
        <v>24</v>
      </c>
      <c r="B18" t="s">
        <v>193</v>
      </c>
      <c r="C18" t="s">
        <v>129</v>
      </c>
      <c r="D18" t="s">
        <v>194</v>
      </c>
      <c r="E18" t="s">
        <v>130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 t="n">
        <v>126949</v>
      </c>
      <c r="V18" t="n">
        <v>130107</v>
      </c>
      <c r="W18" t="n">
        <v>166416</v>
      </c>
      <c r="X18" t="n">
        <v>196242</v>
      </c>
      <c r="Y18" t="n">
        <v>174382</v>
      </c>
      <c r="Z18" t="n">
        <v>170331</v>
      </c>
      <c r="AA18" t="n">
        <v>180834</v>
      </c>
      <c r="AB18" t="n">
        <v>199998</v>
      </c>
      <c r="AC18" t="n">
        <v>224733</v>
      </c>
      <c r="AD18" t="n">
        <v>231652</v>
      </c>
      <c r="AE18" t="n">
        <v>187929</v>
      </c>
      <c r="AF18" t="n">
        <v>187131</v>
      </c>
    </row>
    <row r="19">
      <c r="A19" t="s">
        <v>24</v>
      </c>
      <c r="B19" t="s">
        <v>195</v>
      </c>
      <c r="C19" t="s">
        <v>129</v>
      </c>
      <c r="D19" t="s">
        <v>196</v>
      </c>
      <c r="E19" t="s">
        <v>130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 t="n">
        <v>100845</v>
      </c>
      <c r="V19" t="n">
        <v>97587</v>
      </c>
      <c r="W19" t="n">
        <v>98625</v>
      </c>
      <c r="X19" t="n">
        <v>95232</v>
      </c>
      <c r="Y19" t="n">
        <v>106745</v>
      </c>
      <c r="Z19" t="n">
        <v>111991</v>
      </c>
      <c r="AA19" t="n">
        <v>118893</v>
      </c>
      <c r="AB19" t="n">
        <v>126947</v>
      </c>
      <c r="AC19" t="n">
        <v>122273</v>
      </c>
      <c r="AD19" t="n">
        <v>129567</v>
      </c>
      <c r="AE19" t="n">
        <v>116285</v>
      </c>
      <c r="AF19" t="n">
        <v>125932</v>
      </c>
    </row>
    <row r="20">
      <c r="A20" t="s">
        <v>24</v>
      </c>
      <c r="B20" t="s">
        <v>197</v>
      </c>
      <c r="C20" t="s">
        <v>129</v>
      </c>
      <c r="D20" t="s">
        <v>198</v>
      </c>
      <c r="E20" t="s">
        <v>130</v>
      </c>
      <c r="F20" t="n">
        <v>98836</v>
      </c>
      <c r="G20" t="n">
        <v>97082</v>
      </c>
      <c r="H20" t="n">
        <v>105676</v>
      </c>
      <c r="I20" t="n">
        <v>101943</v>
      </c>
      <c r="J20" t="n">
        <v>101540</v>
      </c>
      <c r="K20" t="n">
        <v>90520</v>
      </c>
      <c r="L20" t="n">
        <v>82539</v>
      </c>
      <c r="M20" t="n">
        <v>77426</v>
      </c>
      <c r="N20" t="n">
        <v>70374</v>
      </c>
      <c r="O20" t="n">
        <v>68487</v>
      </c>
      <c r="P20" t="n">
        <v>66255</v>
      </c>
      <c r="Q20" t="n">
        <v>68495</v>
      </c>
      <c r="R20" t="n">
        <v>61994</v>
      </c>
      <c r="S20" t="n">
        <v>61499</v>
      </c>
      <c r="T20" t="n">
        <v>56235</v>
      </c>
      <c r="U20" t="n">
        <v>57074</v>
      </c>
      <c r="V20" t="n">
        <v>50794</v>
      </c>
      <c r="W20" t="n">
        <v>62539</v>
      </c>
      <c r="X20" t="n">
        <v>53844</v>
      </c>
      <c r="Y20" t="n">
        <v>53843</v>
      </c>
      <c r="Z20" t="n">
        <v>50733</v>
      </c>
      <c r="AA20" t="n">
        <v>48876</v>
      </c>
      <c r="AB20" t="n">
        <v>51858</v>
      </c>
      <c r="AC20" t="n">
        <v>50822</v>
      </c>
      <c r="AD20" t="n">
        <v>52413</v>
      </c>
      <c r="AE20" t="n">
        <v>53442</v>
      </c>
      <c r="AF20" t="n">
        <v>57732</v>
      </c>
    </row>
    <row r="21">
      <c r="A21" t="s">
        <v>24</v>
      </c>
      <c r="B21" t="s">
        <v>199</v>
      </c>
      <c r="C21" t="s">
        <v>129</v>
      </c>
      <c r="D21" t="s">
        <v>200</v>
      </c>
      <c r="E21" t="s">
        <v>130</v>
      </c>
      <c r="F21" t="n">
        <v>201558</v>
      </c>
      <c r="G21" t="n">
        <v>186449</v>
      </c>
      <c r="H21" t="n">
        <v>204781</v>
      </c>
      <c r="I21" t="n">
        <v>202665</v>
      </c>
      <c r="J21" t="n">
        <v>190970</v>
      </c>
      <c r="K21" t="n">
        <v>179236</v>
      </c>
      <c r="L21" t="n">
        <v>176168</v>
      </c>
      <c r="M21" t="n">
        <v>165898</v>
      </c>
      <c r="N21" t="n">
        <v>156907</v>
      </c>
      <c r="O21" t="n">
        <v>151323</v>
      </c>
      <c r="P21" t="n">
        <v>154712</v>
      </c>
      <c r="Q21" t="n">
        <v>157035</v>
      </c>
      <c r="R21" t="n">
        <v>141721</v>
      </c>
      <c r="S21" t="n">
        <v>148461</v>
      </c>
      <c r="T21" t="n">
        <v>136453</v>
      </c>
      <c r="U21" t="n">
        <v>140740</v>
      </c>
      <c r="V21" t="n">
        <v>130976</v>
      </c>
      <c r="W21" t="n">
        <v>140973</v>
      </c>
      <c r="X21" t="n">
        <v>133760</v>
      </c>
      <c r="Y21" t="n">
        <v>137579</v>
      </c>
      <c r="Z21" t="n">
        <v>132024</v>
      </c>
      <c r="AA21" t="n">
        <v>129758</v>
      </c>
      <c r="AB21" t="n">
        <v>134905</v>
      </c>
      <c r="AC21" t="n">
        <v>132262</v>
      </c>
      <c r="AD21" t="n">
        <v>135073</v>
      </c>
      <c r="AE21" t="n">
        <v>130252</v>
      </c>
      <c r="AF21" t="n">
        <v>133396</v>
      </c>
    </row>
    <row r="22">
      <c r="A22" t="s">
        <v>24</v>
      </c>
      <c r="B22" t="s">
        <v>201</v>
      </c>
      <c r="C22" t="s">
        <v>129</v>
      </c>
      <c r="D22" t="s">
        <v>202</v>
      </c>
      <c r="E22" t="s">
        <v>130</v>
      </c>
      <c r="F22" t="n">
        <v>102722</v>
      </c>
      <c r="G22" t="n">
        <v>89367</v>
      </c>
      <c r="H22" t="n">
        <v>99105</v>
      </c>
      <c r="I22" t="n">
        <v>100722</v>
      </c>
      <c r="J22" t="n">
        <v>89430</v>
      </c>
      <c r="K22" t="n">
        <v>88716</v>
      </c>
      <c r="L22" t="n">
        <v>93629</v>
      </c>
      <c r="M22" t="n">
        <v>88472</v>
      </c>
      <c r="N22" t="n">
        <v>86533</v>
      </c>
      <c r="O22" t="n">
        <v>82836</v>
      </c>
      <c r="P22" t="n">
        <v>88457</v>
      </c>
      <c r="Q22" t="n">
        <v>88540</v>
      </c>
      <c r="R22" t="n">
        <v>79727</v>
      </c>
      <c r="S22" t="n">
        <v>86962</v>
      </c>
      <c r="T22" t="n">
        <v>80218</v>
      </c>
      <c r="U22" t="n">
        <v>83666</v>
      </c>
      <c r="V22" t="n">
        <v>80182</v>
      </c>
      <c r="W22" t="n">
        <v>78434</v>
      </c>
      <c r="X22" t="n">
        <v>79916</v>
      </c>
      <c r="Y22" t="n">
        <v>83736</v>
      </c>
      <c r="Z22" t="n">
        <v>81291</v>
      </c>
      <c r="AA22" t="n">
        <v>80882</v>
      </c>
      <c r="AB22" t="n">
        <v>83047</v>
      </c>
      <c r="AC22" t="n">
        <v>81440</v>
      </c>
      <c r="AD22" t="n">
        <v>82660</v>
      </c>
      <c r="AE22" t="n">
        <v>76810</v>
      </c>
      <c r="AF22" t="n">
        <v>75664</v>
      </c>
    </row>
    <row r="23">
      <c r="A23" t="s">
        <v>24</v>
      </c>
      <c r="B23" t="s">
        <v>203</v>
      </c>
      <c r="C23" t="s">
        <v>129</v>
      </c>
      <c r="D23" t="s">
        <v>204</v>
      </c>
      <c r="E23" t="s">
        <v>130</v>
      </c>
      <c r="F23" t="n">
        <v>351656</v>
      </c>
      <c r="G23" t="n">
        <v>335408</v>
      </c>
      <c r="H23" t="n">
        <v>353687</v>
      </c>
      <c r="I23" t="n">
        <v>347279</v>
      </c>
      <c r="J23" t="n">
        <v>376440</v>
      </c>
      <c r="K23" t="n">
        <v>368327</v>
      </c>
      <c r="L23" t="n">
        <v>360797</v>
      </c>
      <c r="M23" t="n">
        <v>374009</v>
      </c>
      <c r="N23" t="n">
        <v>431304</v>
      </c>
      <c r="O23" t="n">
        <v>434437</v>
      </c>
      <c r="P23" t="n">
        <v>454035</v>
      </c>
      <c r="Q23" t="n">
        <v>457109</v>
      </c>
      <c r="R23" t="n">
        <v>459850</v>
      </c>
      <c r="S23" t="n">
        <v>458903</v>
      </c>
      <c r="T23" t="n">
        <v>422912</v>
      </c>
      <c r="U23" t="n">
        <v>384907</v>
      </c>
      <c r="V23" t="n">
        <v>370626</v>
      </c>
      <c r="W23" t="n">
        <v>376173</v>
      </c>
      <c r="X23" t="n">
        <v>380115</v>
      </c>
      <c r="Y23" t="n">
        <v>397719</v>
      </c>
      <c r="Z23" t="n">
        <v>388946</v>
      </c>
      <c r="AA23" t="n">
        <v>417171</v>
      </c>
      <c r="AB23" t="n">
        <v>461054</v>
      </c>
      <c r="AC23" t="n">
        <v>496069</v>
      </c>
      <c r="AD23" t="n">
        <v>523259</v>
      </c>
      <c r="AE23" t="n">
        <v>527393</v>
      </c>
      <c r="AF23" t="n">
        <v>564640</v>
      </c>
    </row>
    <row r="24">
      <c r="A24" t="s">
        <v>24</v>
      </c>
      <c r="B24" t="s">
        <v>205</v>
      </c>
      <c r="C24" t="s">
        <v>129</v>
      </c>
      <c r="D24" t="s">
        <v>206</v>
      </c>
      <c r="E24" t="s">
        <v>130</v>
      </c>
      <c r="F24" t="n">
        <v>639916</v>
      </c>
      <c r="G24" t="n">
        <v>693555</v>
      </c>
      <c r="H24" t="n">
        <v>738665</v>
      </c>
      <c r="I24" t="n">
        <v>707760</v>
      </c>
      <c r="J24" t="n">
        <v>772657</v>
      </c>
      <c r="K24" t="n">
        <v>831307</v>
      </c>
      <c r="L24" t="n">
        <v>836571</v>
      </c>
      <c r="M24" t="n">
        <v>834180</v>
      </c>
      <c r="N24" t="n">
        <v>839576</v>
      </c>
      <c r="O24" t="n">
        <v>855180</v>
      </c>
      <c r="P24" t="n">
        <v>890171</v>
      </c>
      <c r="Q24" t="n">
        <v>891729</v>
      </c>
      <c r="R24" t="n">
        <v>919376</v>
      </c>
      <c r="S24" t="n">
        <v>913633</v>
      </c>
      <c r="T24" t="n">
        <v>880195</v>
      </c>
      <c r="U24" t="n">
        <v>869596</v>
      </c>
      <c r="V24" t="n">
        <v>847565</v>
      </c>
      <c r="W24" t="n">
        <v>824486</v>
      </c>
      <c r="X24" t="n">
        <v>867733</v>
      </c>
      <c r="Y24" t="n">
        <v>925669</v>
      </c>
      <c r="Z24" t="n">
        <v>949110</v>
      </c>
      <c r="AA24" t="n">
        <v>947760</v>
      </c>
      <c r="AB24" t="n">
        <v>975342</v>
      </c>
      <c r="AC24" t="n">
        <v>986589</v>
      </c>
      <c r="AD24" t="n">
        <v>1005017</v>
      </c>
      <c r="AE24" t="n">
        <v>964362</v>
      </c>
      <c r="AF24" t="n">
        <v>969880</v>
      </c>
    </row>
    <row r="25">
      <c r="A25" t="s">
        <v>24</v>
      </c>
      <c r="B25" t="s">
        <v>207</v>
      </c>
      <c r="C25" t="s">
        <v>129</v>
      </c>
      <c r="D25" t="s">
        <v>208</v>
      </c>
      <c r="E25" t="s">
        <v>130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 t="n">
        <v>109302</v>
      </c>
      <c r="V25" t="n">
        <v>113876</v>
      </c>
      <c r="W25" t="n">
        <v>110959</v>
      </c>
      <c r="X25" t="n">
        <v>118249</v>
      </c>
      <c r="Y25" t="n">
        <v>121764</v>
      </c>
      <c r="Z25" t="n">
        <v>129507</v>
      </c>
      <c r="AA25" t="n">
        <v>139498</v>
      </c>
      <c r="AB25" t="n">
        <v>145704</v>
      </c>
      <c r="AC25" t="n">
        <v>149982</v>
      </c>
      <c r="AD25" t="n">
        <v>155818</v>
      </c>
      <c r="AE25" t="n">
        <v>163011</v>
      </c>
      <c r="AF25" t="n">
        <v>158810</v>
      </c>
    </row>
    <row r="26">
      <c r="A26" t="s">
        <v>24</v>
      </c>
      <c r="B26" t="s">
        <v>209</v>
      </c>
      <c r="C26" t="s">
        <v>129</v>
      </c>
      <c r="D26" t="s">
        <v>210</v>
      </c>
      <c r="E26" t="s">
        <v>130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 t="n">
        <v>263449</v>
      </c>
      <c r="V26" t="n">
        <v>239031</v>
      </c>
      <c r="W26" t="n">
        <v>224865</v>
      </c>
      <c r="X26" t="n">
        <v>248502</v>
      </c>
      <c r="Y26" t="n">
        <v>281697</v>
      </c>
      <c r="Z26" t="n">
        <v>295903</v>
      </c>
      <c r="AA26" t="n">
        <v>293059</v>
      </c>
      <c r="AB26" t="n">
        <v>305754</v>
      </c>
      <c r="AC26" t="n">
        <v>315652</v>
      </c>
      <c r="AD26" t="n">
        <v>317502</v>
      </c>
      <c r="AE26" t="n">
        <v>301909</v>
      </c>
      <c r="AF26" t="n">
        <v>308819</v>
      </c>
    </row>
    <row r="27">
      <c r="A27" t="s">
        <v>24</v>
      </c>
      <c r="B27" t="s">
        <v>211</v>
      </c>
      <c r="C27" t="s">
        <v>129</v>
      </c>
      <c r="D27" t="s">
        <v>212</v>
      </c>
      <c r="E27" t="s">
        <v>130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 t="n">
        <v>496845</v>
      </c>
      <c r="V27" t="n">
        <v>494658</v>
      </c>
      <c r="W27" t="n">
        <v>488662</v>
      </c>
      <c r="X27" t="n">
        <v>500982</v>
      </c>
      <c r="Y27" t="n">
        <v>522208</v>
      </c>
      <c r="Z27" t="n">
        <v>523700</v>
      </c>
      <c r="AA27" t="n">
        <v>515203</v>
      </c>
      <c r="AB27" t="n">
        <v>523884</v>
      </c>
      <c r="AC27" t="n">
        <v>520955</v>
      </c>
      <c r="AD27" t="n">
        <v>531697</v>
      </c>
      <c r="AE27" t="n">
        <v>499442</v>
      </c>
      <c r="AF27" t="n">
        <v>502251</v>
      </c>
    </row>
    <row r="28">
      <c r="A28" t="s">
        <v>24</v>
      </c>
      <c r="B28" t="s">
        <v>213</v>
      </c>
      <c r="C28" t="s">
        <v>129</v>
      </c>
      <c r="D28" t="s">
        <v>214</v>
      </c>
      <c r="E28" t="s">
        <v>130</v>
      </c>
      <c r="F28" t="n">
        <v>442141</v>
      </c>
      <c r="G28" t="n">
        <v>435082</v>
      </c>
      <c r="H28" t="n">
        <v>427765</v>
      </c>
      <c r="I28" t="n">
        <v>443621</v>
      </c>
      <c r="J28" t="n">
        <v>444888</v>
      </c>
      <c r="K28" t="n">
        <v>447917</v>
      </c>
      <c r="L28" t="n">
        <v>449334</v>
      </c>
      <c r="M28" t="n">
        <v>444208</v>
      </c>
      <c r="N28" t="n">
        <v>434372</v>
      </c>
      <c r="O28" t="n">
        <v>438621</v>
      </c>
      <c r="P28" t="n">
        <v>414123</v>
      </c>
      <c r="Q28" t="n">
        <v>434536</v>
      </c>
      <c r="R28" t="n">
        <v>421044</v>
      </c>
      <c r="S28" t="n">
        <v>383897</v>
      </c>
      <c r="T28" t="n">
        <v>398761</v>
      </c>
      <c r="U28" t="n">
        <v>376140</v>
      </c>
      <c r="V28" t="n">
        <v>390223</v>
      </c>
      <c r="W28" t="n">
        <v>411879</v>
      </c>
      <c r="X28" t="n">
        <v>411240</v>
      </c>
      <c r="Y28" t="n">
        <v>413061</v>
      </c>
      <c r="Z28" t="n">
        <v>420911</v>
      </c>
      <c r="AA28" t="n">
        <v>441980</v>
      </c>
      <c r="AB28" t="n">
        <v>452781</v>
      </c>
      <c r="AC28" t="n">
        <v>452128</v>
      </c>
      <c r="AD28" t="n">
        <v>457803</v>
      </c>
      <c r="AE28" t="n">
        <v>398820</v>
      </c>
      <c r="AF28" t="n">
        <v>410033</v>
      </c>
    </row>
    <row r="29">
      <c r="A29" t="s">
        <v>24</v>
      </c>
      <c r="B29" t="s">
        <v>215</v>
      </c>
      <c r="C29" t="s">
        <v>129</v>
      </c>
      <c r="D29" t="s">
        <v>216</v>
      </c>
      <c r="E29" t="s">
        <v>130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 t="n">
        <v>215293</v>
      </c>
      <c r="V29" t="n">
        <v>218172</v>
      </c>
      <c r="W29" t="n">
        <v>212843</v>
      </c>
      <c r="X29" t="n">
        <v>227150</v>
      </c>
      <c r="Y29" t="n">
        <v>232269</v>
      </c>
      <c r="Z29" t="n">
        <v>242076</v>
      </c>
      <c r="AA29" t="n">
        <v>255478</v>
      </c>
      <c r="AB29" t="n">
        <v>262294</v>
      </c>
      <c r="AC29" t="n">
        <v>264249</v>
      </c>
      <c r="AD29" t="n">
        <v>270723</v>
      </c>
      <c r="AE29" t="n">
        <v>238254</v>
      </c>
      <c r="AF29" t="n">
        <v>239478</v>
      </c>
    </row>
    <row r="30">
      <c r="A30" t="s">
        <v>24</v>
      </c>
      <c r="B30" t="s">
        <v>217</v>
      </c>
      <c r="C30" t="s">
        <v>129</v>
      </c>
      <c r="D30" t="s">
        <v>218</v>
      </c>
      <c r="E30" t="s">
        <v>130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 t="n">
        <v>1897</v>
      </c>
      <c r="V30" t="n">
        <v>3238</v>
      </c>
      <c r="W30" t="n">
        <v>3638</v>
      </c>
      <c r="X30" t="n">
        <v>4498</v>
      </c>
      <c r="Y30" t="n">
        <v>3589</v>
      </c>
      <c r="Z30" t="n">
        <v>3538</v>
      </c>
      <c r="AA30" t="n">
        <v>4787</v>
      </c>
      <c r="AB30" t="n">
        <v>4097</v>
      </c>
      <c r="AC30" t="n">
        <v>3893</v>
      </c>
      <c r="AD30" t="n">
        <v>3926</v>
      </c>
      <c r="AE30" t="n">
        <v>3909</v>
      </c>
      <c r="AF30" t="n">
        <v>2783</v>
      </c>
    </row>
    <row r="31">
      <c r="A31" t="s">
        <v>24</v>
      </c>
      <c r="B31" t="s">
        <v>219</v>
      </c>
      <c r="C31" t="s">
        <v>129</v>
      </c>
      <c r="D31" t="s">
        <v>220</v>
      </c>
      <c r="E31" t="s">
        <v>130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 t="n">
        <v>11790</v>
      </c>
      <c r="V31" t="n">
        <v>12835</v>
      </c>
      <c r="W31" t="n">
        <v>5554</v>
      </c>
      <c r="X31" t="n">
        <v>3164</v>
      </c>
      <c r="Y31" t="n">
        <v>2072</v>
      </c>
      <c r="Z31" t="n">
        <v>2047</v>
      </c>
      <c r="AA31" t="n">
        <v>4494</v>
      </c>
      <c r="AB31" t="n">
        <v>2205</v>
      </c>
      <c r="AC31" t="n">
        <v>3784</v>
      </c>
      <c r="AD31" t="n">
        <v>3273</v>
      </c>
      <c r="AE31" t="n">
        <v>1554</v>
      </c>
      <c r="AF31" t="n">
        <v>1485</v>
      </c>
    </row>
    <row r="32">
      <c r="A32" t="s">
        <v>24</v>
      </c>
      <c r="B32" t="s">
        <v>221</v>
      </c>
      <c r="C32" t="s">
        <v>129</v>
      </c>
      <c r="D32" t="s">
        <v>222</v>
      </c>
      <c r="E32" t="s">
        <v>130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 t="n">
        <v>82770</v>
      </c>
      <c r="V32" t="n">
        <v>93397</v>
      </c>
      <c r="W32" t="n">
        <v>111721</v>
      </c>
      <c r="X32" t="n">
        <v>104316</v>
      </c>
      <c r="Y32" t="n">
        <v>104935</v>
      </c>
      <c r="Z32" t="n">
        <v>103784</v>
      </c>
      <c r="AA32" t="n">
        <v>104690</v>
      </c>
      <c r="AB32" t="n">
        <v>109006</v>
      </c>
      <c r="AC32" t="n">
        <v>108983</v>
      </c>
      <c r="AD32" t="n">
        <v>108404</v>
      </c>
      <c r="AE32" t="n">
        <v>94243</v>
      </c>
      <c r="AF32" t="n">
        <v>103433</v>
      </c>
    </row>
    <row r="33">
      <c r="A33" t="s">
        <v>24</v>
      </c>
      <c r="B33" t="s">
        <v>223</v>
      </c>
      <c r="C33" t="s">
        <v>129</v>
      </c>
      <c r="D33" t="s">
        <v>224</v>
      </c>
      <c r="E33" t="s">
        <v>130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 t="n">
        <v>64390</v>
      </c>
      <c r="V33" t="n">
        <v>62581</v>
      </c>
      <c r="W33" t="n">
        <v>78123</v>
      </c>
      <c r="X33" t="n">
        <v>72112</v>
      </c>
      <c r="Y33" t="n">
        <v>70196</v>
      </c>
      <c r="Z33" t="n">
        <v>69466</v>
      </c>
      <c r="AA33" t="n">
        <v>72531</v>
      </c>
      <c r="AB33" t="n">
        <v>75179</v>
      </c>
      <c r="AC33" t="n">
        <v>71219</v>
      </c>
      <c r="AD33" t="n">
        <v>71475</v>
      </c>
      <c r="AE33" t="n">
        <v>60860</v>
      </c>
      <c r="AF33" t="n">
        <v>62854</v>
      </c>
    </row>
    <row r="34">
      <c r="A34" t="s">
        <v>24</v>
      </c>
      <c r="B34" t="s">
        <v>225</v>
      </c>
      <c r="C34" t="s">
        <v>129</v>
      </c>
      <c r="D34" t="s">
        <v>226</v>
      </c>
      <c r="E34" t="s">
        <v>130</v>
      </c>
      <c r="F34" t="n">
        <v>182857</v>
      </c>
      <c r="G34" t="n">
        <v>176238</v>
      </c>
      <c r="H34" t="n">
        <v>187237</v>
      </c>
      <c r="I34" t="n">
        <v>191021</v>
      </c>
      <c r="J34" t="n">
        <v>200960</v>
      </c>
      <c r="K34" t="n">
        <v>201548</v>
      </c>
      <c r="L34" t="n">
        <v>210022</v>
      </c>
      <c r="M34" t="n">
        <v>207283</v>
      </c>
      <c r="N34" t="n">
        <v>205410</v>
      </c>
      <c r="O34" t="n">
        <v>221471</v>
      </c>
      <c r="P34" t="n">
        <v>234718</v>
      </c>
      <c r="Q34" t="n">
        <v>233055</v>
      </c>
      <c r="R34" t="n">
        <v>228476</v>
      </c>
      <c r="S34" t="n">
        <v>215250</v>
      </c>
      <c r="T34" t="n">
        <v>221165</v>
      </c>
      <c r="U34" t="n">
        <v>214753</v>
      </c>
      <c r="V34" t="n">
        <v>235112</v>
      </c>
      <c r="W34" t="n">
        <v>235119</v>
      </c>
      <c r="X34" t="n">
        <v>232284</v>
      </c>
      <c r="Y34" t="n">
        <v>218390</v>
      </c>
      <c r="Z34" t="n">
        <v>231404</v>
      </c>
      <c r="AA34" t="n">
        <v>277521</v>
      </c>
      <c r="AB34" t="n">
        <v>249816</v>
      </c>
      <c r="AC34" t="n">
        <v>250896</v>
      </c>
      <c r="AD34" t="n">
        <v>261499</v>
      </c>
      <c r="AE34" t="n">
        <v>214211</v>
      </c>
      <c r="AF34" t="n">
        <v>236954</v>
      </c>
    </row>
    <row r="35">
      <c r="A35" t="s">
        <v>24</v>
      </c>
      <c r="B35" t="s">
        <v>227</v>
      </c>
      <c r="C35" t="s">
        <v>129</v>
      </c>
      <c r="D35" t="s">
        <v>228</v>
      </c>
      <c r="E35" t="s">
        <v>130</v>
      </c>
      <c r="F35" t="n">
        <v>120146</v>
      </c>
      <c r="G35" t="n">
        <v>115932</v>
      </c>
      <c r="H35" t="n">
        <v>109293</v>
      </c>
      <c r="I35" t="n">
        <v>118308</v>
      </c>
      <c r="J35" t="n">
        <v>121656</v>
      </c>
      <c r="K35" t="n">
        <v>137857</v>
      </c>
      <c r="L35" t="n">
        <v>152174</v>
      </c>
      <c r="M35" t="n">
        <v>145274</v>
      </c>
      <c r="N35" t="n">
        <v>153860</v>
      </c>
      <c r="O35" t="n">
        <v>143045</v>
      </c>
      <c r="P35" t="n">
        <v>144030</v>
      </c>
      <c r="Q35" t="n">
        <v>163651</v>
      </c>
      <c r="R35" t="n">
        <v>162925</v>
      </c>
      <c r="S35" t="n">
        <v>165628</v>
      </c>
      <c r="T35" t="n">
        <v>173194</v>
      </c>
      <c r="U35" t="n">
        <v>161115</v>
      </c>
      <c r="V35" t="n">
        <v>171801</v>
      </c>
      <c r="W35" t="n">
        <v>168724</v>
      </c>
      <c r="X35" t="n">
        <v>181580</v>
      </c>
      <c r="Y35" t="n">
        <v>195447</v>
      </c>
      <c r="Z35" t="n">
        <v>200090</v>
      </c>
      <c r="AA35" t="n">
        <v>211916</v>
      </c>
      <c r="AB35" t="n">
        <v>218843</v>
      </c>
      <c r="AC35" t="n">
        <v>225083</v>
      </c>
      <c r="AD35" t="n">
        <v>232146</v>
      </c>
      <c r="AE35" t="n">
        <v>241815</v>
      </c>
      <c r="AF35" t="n">
        <v>265738</v>
      </c>
    </row>
    <row r="36">
      <c r="A36" t="s">
        <v>24</v>
      </c>
      <c r="B36" t="s">
        <v>229</v>
      </c>
      <c r="C36" t="s">
        <v>129</v>
      </c>
      <c r="D36" t="s">
        <v>230</v>
      </c>
      <c r="E36" t="s">
        <v>130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 t="n">
        <v>54181</v>
      </c>
      <c r="V36" t="n">
        <v>46073</v>
      </c>
      <c r="W36" t="n">
        <v>48229</v>
      </c>
      <c r="X36" t="n">
        <v>53113</v>
      </c>
      <c r="Y36" t="n">
        <v>51221</v>
      </c>
      <c r="Z36" t="n">
        <v>47850</v>
      </c>
      <c r="AA36" t="n">
        <v>48972</v>
      </c>
      <c r="AB36" t="n">
        <v>48122</v>
      </c>
      <c r="AC36" t="n">
        <v>50859</v>
      </c>
      <c r="AD36" t="n">
        <v>47956</v>
      </c>
      <c r="AE36" t="n">
        <v>43462</v>
      </c>
      <c r="AF36" t="n">
        <v>45144</v>
      </c>
    </row>
    <row r="37">
      <c r="A37" t="s">
        <v>24</v>
      </c>
      <c r="B37" t="s">
        <v>231</v>
      </c>
      <c r="C37" t="s">
        <v>129</v>
      </c>
      <c r="D37" t="s">
        <v>232</v>
      </c>
      <c r="E37" t="s">
        <v>130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 t="n">
        <v>28493</v>
      </c>
      <c r="V37" t="n">
        <v>31276</v>
      </c>
      <c r="W37" t="n">
        <v>38783</v>
      </c>
      <c r="X37" t="n">
        <v>37761</v>
      </c>
      <c r="Y37" t="n">
        <v>38129</v>
      </c>
      <c r="Z37" t="n">
        <v>37348</v>
      </c>
      <c r="AA37" t="n">
        <v>34830</v>
      </c>
      <c r="AB37" t="n">
        <v>36230</v>
      </c>
      <c r="AC37" t="n">
        <v>36173</v>
      </c>
      <c r="AD37" t="n">
        <v>34465</v>
      </c>
      <c r="AE37" t="n">
        <v>27786</v>
      </c>
      <c r="AF37" t="n">
        <v>31943</v>
      </c>
    </row>
    <row r="38">
      <c r="A38" t="s">
        <v>24</v>
      </c>
      <c r="B38" t="s">
        <v>233</v>
      </c>
      <c r="C38" t="s">
        <v>129</v>
      </c>
      <c r="D38" t="s">
        <v>234</v>
      </c>
      <c r="E38" t="s">
        <v>130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 t="n">
        <v>78441</v>
      </c>
      <c r="V38" t="n">
        <v>94452</v>
      </c>
      <c r="W38" t="n">
        <v>81712</v>
      </c>
      <c r="X38" t="n">
        <v>90706</v>
      </c>
      <c r="Y38" t="n">
        <v>106097</v>
      </c>
      <c r="Z38" t="n">
        <v>114892</v>
      </c>
      <c r="AA38" t="n">
        <v>128114</v>
      </c>
      <c r="AB38" t="n">
        <v>134491</v>
      </c>
      <c r="AC38" t="n">
        <v>138051</v>
      </c>
      <c r="AD38" t="n">
        <v>149725</v>
      </c>
      <c r="AE38" t="n">
        <v>170567</v>
      </c>
      <c r="AF38" t="n">
        <v>188651</v>
      </c>
    </row>
    <row r="39">
      <c r="A39" t="s">
        <v>24</v>
      </c>
      <c r="B39" t="s">
        <v>235</v>
      </c>
      <c r="C39" t="s">
        <v>129</v>
      </c>
      <c r="D39" t="s">
        <v>236</v>
      </c>
      <c r="E39" t="s">
        <v>130</v>
      </c>
      <c r="F39" t="n">
        <v>149177</v>
      </c>
      <c r="G39" t="n">
        <v>150649</v>
      </c>
      <c r="H39" t="n">
        <v>146785</v>
      </c>
      <c r="I39" t="n">
        <v>143136</v>
      </c>
      <c r="J39" t="n">
        <v>136051</v>
      </c>
      <c r="K39" t="n">
        <v>141378</v>
      </c>
      <c r="L39" t="n">
        <v>132109</v>
      </c>
      <c r="M39" t="n">
        <v>121758</v>
      </c>
      <c r="N39" t="n">
        <v>117461</v>
      </c>
      <c r="O39" t="n">
        <v>130297</v>
      </c>
      <c r="P39" t="n">
        <v>128941</v>
      </c>
      <c r="Q39" t="n">
        <v>135093</v>
      </c>
      <c r="R39" t="n">
        <v>133777</v>
      </c>
      <c r="S39" t="n">
        <v>140677</v>
      </c>
      <c r="T39" t="n">
        <v>130391</v>
      </c>
      <c r="U39" t="n">
        <v>129810</v>
      </c>
      <c r="V39" t="n">
        <v>127996</v>
      </c>
      <c r="W39" t="n">
        <v>137480</v>
      </c>
      <c r="X39" t="n">
        <v>125245</v>
      </c>
      <c r="Y39" t="n">
        <v>124452</v>
      </c>
      <c r="Z39" t="n">
        <v>120063</v>
      </c>
      <c r="AA39" t="n">
        <v>116789</v>
      </c>
      <c r="AB39" t="n">
        <v>123179</v>
      </c>
      <c r="AC39" t="n">
        <v>114956</v>
      </c>
      <c r="AD39" t="n">
        <v>118200</v>
      </c>
      <c r="AE39" t="n">
        <v>116472</v>
      </c>
      <c r="AF39" t="n">
        <v>122407</v>
      </c>
    </row>
    <row r="40">
      <c r="A40" t="s">
        <v>24</v>
      </c>
      <c r="B40" t="s">
        <v>237</v>
      </c>
      <c r="C40" t="s">
        <v>129</v>
      </c>
      <c r="D40" t="s">
        <v>238</v>
      </c>
      <c r="E40" t="s">
        <v>130</v>
      </c>
      <c r="F40" t="n">
        <v>101773</v>
      </c>
      <c r="G40" t="n">
        <v>109575</v>
      </c>
      <c r="H40" t="n">
        <v>109903</v>
      </c>
      <c r="I40" t="n">
        <v>105628</v>
      </c>
      <c r="J40" t="n">
        <v>106916</v>
      </c>
      <c r="K40" t="n">
        <v>107222</v>
      </c>
      <c r="L40" t="n">
        <v>105749</v>
      </c>
      <c r="M40" t="n">
        <v>108983</v>
      </c>
      <c r="N40" t="n">
        <v>107933</v>
      </c>
      <c r="O40" t="n">
        <v>107048</v>
      </c>
      <c r="P40" t="n">
        <v>107556</v>
      </c>
      <c r="Q40" t="n">
        <v>106395</v>
      </c>
      <c r="R40" t="n">
        <v>104612</v>
      </c>
      <c r="S40" t="n">
        <v>112563</v>
      </c>
      <c r="T40" t="n">
        <v>110636</v>
      </c>
      <c r="U40" t="n">
        <v>109963</v>
      </c>
      <c r="V40" t="n">
        <v>110793</v>
      </c>
      <c r="W40" t="n">
        <v>108804</v>
      </c>
      <c r="X40" t="n">
        <v>106505</v>
      </c>
      <c r="Y40" t="n">
        <v>105641</v>
      </c>
      <c r="Z40" t="n">
        <v>106080</v>
      </c>
      <c r="AA40" t="n">
        <v>109742</v>
      </c>
      <c r="AB40" t="n">
        <v>115035</v>
      </c>
      <c r="AC40" t="n">
        <v>124467</v>
      </c>
      <c r="AD40" t="n">
        <v>125883</v>
      </c>
      <c r="AE40" t="n">
        <v>111745</v>
      </c>
      <c r="AF40" t="n">
        <v>116852</v>
      </c>
    </row>
    <row r="41">
      <c r="A41" t="s">
        <v>24</v>
      </c>
      <c r="B41" t="s">
        <v>239</v>
      </c>
      <c r="C41" t="s">
        <v>129</v>
      </c>
      <c r="D41" t="s">
        <v>240</v>
      </c>
      <c r="E41" t="s">
        <v>130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24</v>
      </c>
      <c r="B42" t="s">
        <v>241</v>
      </c>
      <c r="C42" t="s">
        <v>129</v>
      </c>
      <c r="D42" t="s">
        <v>242</v>
      </c>
      <c r="E42" t="s">
        <v>130</v>
      </c>
      <c r="F42" t="n">
        <v>115719</v>
      </c>
      <c r="G42" t="n">
        <v>99394</v>
      </c>
      <c r="H42" t="n">
        <v>118074</v>
      </c>
      <c r="I42" t="n">
        <v>125904</v>
      </c>
      <c r="J42" t="n">
        <v>146430</v>
      </c>
      <c r="K42" t="n">
        <v>165048</v>
      </c>
      <c r="L42" t="n">
        <v>165257</v>
      </c>
      <c r="M42" t="n">
        <v>166210</v>
      </c>
      <c r="N42" t="n">
        <v>181056</v>
      </c>
      <c r="O42" t="n">
        <v>197397</v>
      </c>
      <c r="P42" t="n">
        <v>200991</v>
      </c>
      <c r="Q42" t="n">
        <v>198217</v>
      </c>
      <c r="R42" t="n">
        <v>198709</v>
      </c>
      <c r="S42" t="n">
        <v>212467</v>
      </c>
      <c r="T42" t="n">
        <v>252522</v>
      </c>
      <c r="U42" t="n">
        <v>218917</v>
      </c>
      <c r="V42" t="n">
        <v>220241</v>
      </c>
      <c r="W42" t="n">
        <v>196140</v>
      </c>
      <c r="X42" t="n">
        <v>250060</v>
      </c>
      <c r="Y42" t="n">
        <v>314108</v>
      </c>
      <c r="Z42" t="n">
        <v>339925</v>
      </c>
      <c r="AA42" t="n">
        <v>372557</v>
      </c>
      <c r="AB42" t="n">
        <v>397389</v>
      </c>
      <c r="AC42" t="n">
        <v>393120</v>
      </c>
      <c r="AD42" t="n">
        <v>395286</v>
      </c>
      <c r="AE42" t="n">
        <v>392530</v>
      </c>
      <c r="AF42" t="n">
        <v>415472</v>
      </c>
    </row>
    <row r="43">
      <c r="A43" t="s">
        <v>24</v>
      </c>
      <c r="B43" t="s">
        <v>243</v>
      </c>
      <c r="C43" t="s">
        <v>129</v>
      </c>
      <c r="D43" t="s">
        <v>244</v>
      </c>
      <c r="E43" t="s">
        <v>130</v>
      </c>
      <c r="F43" t="n">
        <v>194696</v>
      </c>
      <c r="G43" t="n">
        <v>175620</v>
      </c>
      <c r="H43" t="n">
        <v>211905</v>
      </c>
      <c r="I43" t="n">
        <v>224697</v>
      </c>
      <c r="J43" t="n">
        <v>256486</v>
      </c>
      <c r="K43" t="n">
        <v>302814</v>
      </c>
      <c r="L43" t="n">
        <v>309893</v>
      </c>
      <c r="M43" t="n">
        <v>310907</v>
      </c>
      <c r="N43" t="n">
        <v>345397</v>
      </c>
      <c r="O43" t="n">
        <v>387157</v>
      </c>
      <c r="P43" t="n">
        <v>403228</v>
      </c>
      <c r="Q43" t="n">
        <v>408846</v>
      </c>
      <c r="R43" t="n">
        <v>416039</v>
      </c>
      <c r="S43" t="n">
        <v>436307</v>
      </c>
      <c r="T43" t="n">
        <v>522076</v>
      </c>
      <c r="U43" t="n">
        <v>527121</v>
      </c>
      <c r="V43" t="n">
        <v>541345</v>
      </c>
      <c r="W43" t="n">
        <v>462696</v>
      </c>
      <c r="X43" t="n">
        <v>521278</v>
      </c>
      <c r="Y43" t="n">
        <v>668059</v>
      </c>
      <c r="Z43" t="n">
        <v>719453</v>
      </c>
      <c r="AA43" t="n">
        <v>745700</v>
      </c>
      <c r="AB43" t="n">
        <v>777596</v>
      </c>
      <c r="AC43" t="n">
        <v>788078</v>
      </c>
      <c r="AD43" t="n">
        <v>792215</v>
      </c>
      <c r="AE43" t="n">
        <v>770048</v>
      </c>
      <c r="AF43" t="n">
        <v>816537</v>
      </c>
    </row>
    <row r="44">
      <c r="A44" t="s">
        <v>24</v>
      </c>
      <c r="B44" t="s">
        <v>245</v>
      </c>
      <c r="C44" t="s">
        <v>129</v>
      </c>
      <c r="D44" t="s">
        <v>246</v>
      </c>
      <c r="E44" t="s">
        <v>130</v>
      </c>
      <c r="F44" t="n">
        <v>4431122</v>
      </c>
      <c r="G44" t="n">
        <v>4411658</v>
      </c>
      <c r="H44" t="n">
        <v>4562622</v>
      </c>
      <c r="I44" t="n">
        <v>4643411</v>
      </c>
      <c r="J44" t="n">
        <v>4765737</v>
      </c>
      <c r="K44" t="n">
        <v>4841161</v>
      </c>
      <c r="L44" t="n">
        <v>4806534</v>
      </c>
      <c r="M44" t="n">
        <v>4770481</v>
      </c>
      <c r="N44" t="n">
        <v>4822885</v>
      </c>
      <c r="O44" t="n">
        <v>4788429</v>
      </c>
      <c r="P44" t="n">
        <v>4836259</v>
      </c>
      <c r="Q44" t="n">
        <v>4869861</v>
      </c>
      <c r="R44" t="n">
        <v>4860696</v>
      </c>
      <c r="S44" t="n">
        <v>4761024</v>
      </c>
      <c r="T44" t="n">
        <v>4574426</v>
      </c>
      <c r="U44" t="n">
        <v>4496047</v>
      </c>
      <c r="V44" t="n">
        <v>4500299</v>
      </c>
      <c r="W44" t="n">
        <v>4492981</v>
      </c>
      <c r="X44" t="n">
        <v>4576906</v>
      </c>
      <c r="Y44" t="n">
        <v>4848988</v>
      </c>
      <c r="Z44" t="n">
        <v>4939972</v>
      </c>
      <c r="AA44" t="n">
        <v>5140305</v>
      </c>
      <c r="AB44" t="n">
        <v>5304021</v>
      </c>
      <c r="AC44" t="n">
        <v>5382373</v>
      </c>
      <c r="AD44" t="n">
        <v>5470861</v>
      </c>
      <c r="AE44" t="n">
        <v>5166078</v>
      </c>
      <c r="AF44" t="n">
        <v>5371196</v>
      </c>
    </row>
    <row r="45">
      <c r="A45" t="s">
        <v>24</v>
      </c>
      <c r="B45" t="s">
        <v>247</v>
      </c>
      <c r="C45" t="s">
        <v>129</v>
      </c>
      <c r="D45" t="s">
        <v>248</v>
      </c>
      <c r="E45" t="s">
        <v>130</v>
      </c>
      <c r="F45" t="n">
        <v>3942321</v>
      </c>
      <c r="G45" t="n">
        <v>3910747</v>
      </c>
      <c r="H45" t="n">
        <v>4098805</v>
      </c>
      <c r="I45" t="n">
        <v>4191150</v>
      </c>
      <c r="J45" t="n">
        <v>4348997</v>
      </c>
      <c r="K45" t="n">
        <v>4469808</v>
      </c>
      <c r="L45" t="n">
        <v>4452665</v>
      </c>
      <c r="M45" t="n">
        <v>4434625</v>
      </c>
      <c r="N45" t="n">
        <v>4508017</v>
      </c>
      <c r="O45" t="n">
        <v>4508206</v>
      </c>
      <c r="P45" t="n">
        <v>4561260</v>
      </c>
      <c r="Q45" t="n">
        <v>4603737</v>
      </c>
      <c r="R45" t="n">
        <v>4592057</v>
      </c>
      <c r="S45" t="n">
        <v>4513807</v>
      </c>
      <c r="T45" t="n">
        <v>4356986</v>
      </c>
      <c r="U45" t="n">
        <v>4275188</v>
      </c>
      <c r="V45" t="n">
        <v>4287552</v>
      </c>
      <c r="W45" t="n">
        <v>4262825</v>
      </c>
      <c r="X45" t="n">
        <v>4351673</v>
      </c>
      <c r="Y45" t="n">
        <v>4627175</v>
      </c>
      <c r="Z45" t="n">
        <v>4721861</v>
      </c>
      <c r="AA45" t="n">
        <v>4901652</v>
      </c>
      <c r="AB45" t="n">
        <v>5064147</v>
      </c>
      <c r="AC45" t="n">
        <v>5147559</v>
      </c>
      <c r="AD45" t="n">
        <v>5237601</v>
      </c>
      <c r="AE45" t="n">
        <v>4929038</v>
      </c>
      <c r="AF45" t="n">
        <v>5161292</v>
      </c>
    </row>
    <row r="46">
      <c r="A46" t="s">
        <v>24</v>
      </c>
      <c r="B46" t="s">
        <v>249</v>
      </c>
      <c r="C46" t="s">
        <v>129</v>
      </c>
      <c r="D46" t="s">
        <v>250</v>
      </c>
      <c r="E46" t="s">
        <v>130</v>
      </c>
      <c r="F46" t="n">
        <v>78977</v>
      </c>
      <c r="G46" t="n">
        <v>76226</v>
      </c>
      <c r="H46" t="n">
        <v>93831</v>
      </c>
      <c r="I46" t="n">
        <v>98793</v>
      </c>
      <c r="J46" t="n">
        <v>110056</v>
      </c>
      <c r="K46" t="n">
        <v>137766</v>
      </c>
      <c r="L46" t="n">
        <v>144636</v>
      </c>
      <c r="M46" t="n">
        <v>144697</v>
      </c>
      <c r="N46" t="n">
        <v>164341</v>
      </c>
      <c r="O46" t="n">
        <v>189760</v>
      </c>
      <c r="P46" t="n">
        <v>202237</v>
      </c>
      <c r="Q46" t="n">
        <v>210629</v>
      </c>
      <c r="R46" t="n">
        <v>217330</v>
      </c>
      <c r="S46" t="n">
        <v>223840</v>
      </c>
      <c r="T46" t="n">
        <v>269554</v>
      </c>
      <c r="U46" t="n">
        <v>308204</v>
      </c>
      <c r="V46" t="n">
        <v>321104</v>
      </c>
      <c r="W46" t="n">
        <v>266556</v>
      </c>
      <c r="X46" t="n">
        <v>271218</v>
      </c>
      <c r="Y46" t="n">
        <v>353951</v>
      </c>
      <c r="Z46" t="n">
        <v>379528</v>
      </c>
      <c r="AA46" t="n">
        <v>373143</v>
      </c>
      <c r="AB46" t="n">
        <v>380207</v>
      </c>
      <c r="AC46" t="n">
        <v>394958</v>
      </c>
      <c r="AD46" t="n">
        <v>396929</v>
      </c>
      <c r="AE46" t="n">
        <v>377518</v>
      </c>
      <c r="AF46" t="n">
        <v>401065</v>
      </c>
    </row>
    <row r="47">
      <c r="A47" t="s">
        <v>24</v>
      </c>
      <c r="B47" t="s">
        <v>251</v>
      </c>
      <c r="C47" t="s">
        <v>129</v>
      </c>
      <c r="D47" t="s">
        <v>252</v>
      </c>
      <c r="E47" t="s">
        <v>130</v>
      </c>
      <c r="F47" t="n">
        <v>582175</v>
      </c>
      <c r="G47" t="n">
        <v>563451</v>
      </c>
      <c r="H47" t="n">
        <v>551076</v>
      </c>
      <c r="I47" t="n">
        <v>546924</v>
      </c>
      <c r="J47" t="n">
        <v>543024</v>
      </c>
      <c r="K47" t="n">
        <v>526128</v>
      </c>
      <c r="L47" t="n">
        <v>547508</v>
      </c>
      <c r="M47" t="n">
        <v>531314</v>
      </c>
      <c r="N47" t="n">
        <v>536160</v>
      </c>
      <c r="O47" t="n">
        <v>531985</v>
      </c>
      <c r="P47" t="n">
        <v>513580</v>
      </c>
      <c r="Q47" t="n">
        <v>497408</v>
      </c>
      <c r="R47" t="n">
        <v>493177</v>
      </c>
      <c r="S47" t="n">
        <v>489845</v>
      </c>
      <c r="T47" t="n">
        <v>533033</v>
      </c>
      <c r="U47" t="n">
        <v>636349</v>
      </c>
      <c r="V47" t="n">
        <v>559780</v>
      </c>
      <c r="W47" t="n">
        <v>600070</v>
      </c>
      <c r="X47" t="n">
        <v>672199</v>
      </c>
      <c r="Y47" t="n">
        <v>714396</v>
      </c>
      <c r="Z47" t="n">
        <v>787866</v>
      </c>
      <c r="AA47" t="n">
        <v>850083</v>
      </c>
      <c r="AB47" t="n">
        <v>760729</v>
      </c>
      <c r="AC47" t="n">
        <v>704221</v>
      </c>
      <c r="AD47" t="n">
        <v>660296</v>
      </c>
      <c r="AE47" t="n">
        <v>694592</v>
      </c>
      <c r="AF47" t="n">
        <v>664288</v>
      </c>
    </row>
    <row r="48">
      <c r="A48" t="s">
        <v>24</v>
      </c>
      <c r="B48" t="s">
        <v>253</v>
      </c>
      <c r="C48" t="s">
        <v>129</v>
      </c>
      <c r="D48" t="s">
        <v>254</v>
      </c>
      <c r="E48" t="s">
        <v>130</v>
      </c>
      <c r="F48" t="n">
        <v>1645818</v>
      </c>
      <c r="G48" t="n">
        <v>1545679</v>
      </c>
      <c r="H48" t="n">
        <v>1517885</v>
      </c>
      <c r="I48" t="n">
        <v>1542649</v>
      </c>
      <c r="J48" t="n">
        <v>1517827</v>
      </c>
      <c r="K48" t="n">
        <v>1497042</v>
      </c>
      <c r="L48" t="n">
        <v>1510188</v>
      </c>
      <c r="M48" t="n">
        <v>1495693</v>
      </c>
      <c r="N48" t="n">
        <v>1580521</v>
      </c>
      <c r="O48" t="n">
        <v>1561267</v>
      </c>
      <c r="P48" t="n">
        <v>1495924</v>
      </c>
      <c r="Q48" t="n">
        <v>1471613</v>
      </c>
      <c r="R48" t="n">
        <v>1382210</v>
      </c>
      <c r="S48" t="n">
        <v>1328276</v>
      </c>
      <c r="T48" t="n">
        <v>1397135</v>
      </c>
      <c r="U48" t="n">
        <v>1462816</v>
      </c>
      <c r="V48" t="n">
        <v>1400722</v>
      </c>
      <c r="W48" t="n">
        <v>1429828</v>
      </c>
      <c r="X48" t="n">
        <v>1510687</v>
      </c>
      <c r="Y48" t="n">
        <v>1596532</v>
      </c>
      <c r="Z48" t="n">
        <v>1679829</v>
      </c>
      <c r="AA48" t="n">
        <v>1772625</v>
      </c>
      <c r="AB48" t="n">
        <v>1666683</v>
      </c>
      <c r="AC48" t="n">
        <v>1636322</v>
      </c>
      <c r="AD48" t="n">
        <v>1587362</v>
      </c>
      <c r="AE48" t="n">
        <v>1591205</v>
      </c>
      <c r="AF48" t="n">
        <v>1580158</v>
      </c>
    </row>
    <row r="49">
      <c r="A49" t="s">
        <v>24</v>
      </c>
      <c r="B49" t="s">
        <v>255</v>
      </c>
      <c r="C49" t="s">
        <v>129</v>
      </c>
      <c r="D49" t="s">
        <v>256</v>
      </c>
      <c r="E49" t="s">
        <v>130</v>
      </c>
      <c r="F49" t="n">
        <v>627618</v>
      </c>
      <c r="G49" t="n">
        <v>563807</v>
      </c>
      <c r="H49" t="n">
        <v>532757</v>
      </c>
      <c r="I49" t="n">
        <v>547014</v>
      </c>
      <c r="J49" t="n">
        <v>540057</v>
      </c>
      <c r="K49" t="n">
        <v>533799</v>
      </c>
      <c r="L49" t="n">
        <v>532010</v>
      </c>
      <c r="M49" t="n">
        <v>537608</v>
      </c>
      <c r="N49" t="n">
        <v>558943</v>
      </c>
      <c r="O49" t="n">
        <v>545754</v>
      </c>
      <c r="P49" t="n">
        <v>512383</v>
      </c>
      <c r="Q49" t="n">
        <v>505333</v>
      </c>
      <c r="R49" t="n">
        <v>444672</v>
      </c>
      <c r="S49" t="n">
        <v>414930</v>
      </c>
      <c r="T49" t="n">
        <v>414856</v>
      </c>
      <c r="U49" t="n">
        <v>408115</v>
      </c>
      <c r="V49" t="n">
        <v>405926</v>
      </c>
      <c r="W49" t="n">
        <v>401208</v>
      </c>
      <c r="X49" t="n">
        <v>388173</v>
      </c>
      <c r="Y49" t="n">
        <v>407042</v>
      </c>
      <c r="Z49" t="n">
        <v>414778</v>
      </c>
      <c r="AA49" t="n">
        <v>429453</v>
      </c>
      <c r="AB49" t="n">
        <v>435080</v>
      </c>
      <c r="AC49" t="n">
        <v>444804</v>
      </c>
      <c r="AD49" t="n">
        <v>445765</v>
      </c>
      <c r="AE49" t="n">
        <v>412654</v>
      </c>
      <c r="AF49" t="n">
        <v>418664</v>
      </c>
    </row>
    <row r="50">
      <c r="A50" t="s">
        <v>24</v>
      </c>
      <c r="B50" t="s">
        <v>257</v>
      </c>
      <c r="C50" t="s">
        <v>129</v>
      </c>
      <c r="D50" t="s">
        <v>258</v>
      </c>
      <c r="E50" t="s">
        <v>130</v>
      </c>
      <c r="F50" t="n">
        <v>436025</v>
      </c>
      <c r="G50" t="n">
        <v>418421</v>
      </c>
      <c r="H50" t="n">
        <v>434052</v>
      </c>
      <c r="I50" t="n">
        <v>448711</v>
      </c>
      <c r="J50" t="n">
        <v>434746</v>
      </c>
      <c r="K50" t="n">
        <v>437115</v>
      </c>
      <c r="L50" t="n">
        <v>430670</v>
      </c>
      <c r="M50" t="n">
        <v>426771</v>
      </c>
      <c r="N50" t="n">
        <v>485418</v>
      </c>
      <c r="O50" t="n">
        <v>483528</v>
      </c>
      <c r="P50" t="n">
        <v>469961</v>
      </c>
      <c r="Q50" t="n">
        <v>468872</v>
      </c>
      <c r="R50" t="n">
        <v>444361</v>
      </c>
      <c r="S50" t="n">
        <v>423501</v>
      </c>
      <c r="T50" t="n">
        <v>449246</v>
      </c>
      <c r="U50" t="n">
        <v>418352</v>
      </c>
      <c r="V50" t="n">
        <v>435016</v>
      </c>
      <c r="W50" t="n">
        <v>428550</v>
      </c>
      <c r="X50" t="n">
        <v>450315</v>
      </c>
      <c r="Y50" t="n">
        <v>475094</v>
      </c>
      <c r="Z50" t="n">
        <v>477185</v>
      </c>
      <c r="AA50" t="n">
        <v>493089</v>
      </c>
      <c r="AB50" t="n">
        <v>470874</v>
      </c>
      <c r="AC50" t="n">
        <v>487296</v>
      </c>
      <c r="AD50" t="n">
        <v>481301</v>
      </c>
      <c r="AE50" t="n">
        <v>483960</v>
      </c>
      <c r="AF50" t="n">
        <v>497204</v>
      </c>
    </row>
    <row r="51">
      <c r="A51" t="s">
        <v>24</v>
      </c>
      <c r="B51" t="s">
        <v>259</v>
      </c>
      <c r="C51" t="s">
        <v>129</v>
      </c>
      <c r="D51" t="s">
        <v>260</v>
      </c>
      <c r="E51" t="s">
        <v>130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 t="n">
        <v>268179</v>
      </c>
      <c r="V51" t="n">
        <v>286170</v>
      </c>
      <c r="W51" t="n">
        <v>290412</v>
      </c>
      <c r="X51" t="n">
        <v>296227</v>
      </c>
      <c r="Y51" t="n">
        <v>299952</v>
      </c>
      <c r="Z51" t="n">
        <v>295129</v>
      </c>
      <c r="AA51" t="n">
        <v>294176</v>
      </c>
      <c r="AB51" t="n">
        <v>282846</v>
      </c>
      <c r="AC51" t="n">
        <v>289457</v>
      </c>
      <c r="AD51" t="n">
        <v>295310</v>
      </c>
      <c r="AE51" t="n">
        <v>284898</v>
      </c>
      <c r="AF51" t="n">
        <v>293398</v>
      </c>
    </row>
    <row r="52">
      <c r="A52" t="s">
        <v>24</v>
      </c>
      <c r="B52" t="s">
        <v>261</v>
      </c>
      <c r="C52" t="s">
        <v>129</v>
      </c>
      <c r="D52" t="s">
        <v>262</v>
      </c>
      <c r="E52" t="s">
        <v>130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 t="n">
        <v>150173</v>
      </c>
      <c r="V52" t="n">
        <v>148846</v>
      </c>
      <c r="W52" t="n">
        <v>138138</v>
      </c>
      <c r="X52" t="n">
        <v>154088</v>
      </c>
      <c r="Y52" t="n">
        <v>175142</v>
      </c>
      <c r="Z52" t="n">
        <v>182056</v>
      </c>
      <c r="AA52" t="n">
        <v>198913</v>
      </c>
      <c r="AB52" t="n">
        <v>188028</v>
      </c>
      <c r="AC52" t="n">
        <v>197839</v>
      </c>
      <c r="AD52" t="n">
        <v>185991</v>
      </c>
      <c r="AE52" t="n">
        <v>199062</v>
      </c>
      <c r="AF52" t="n">
        <v>203806</v>
      </c>
    </row>
    <row r="53">
      <c r="A53" t="s">
        <v>24</v>
      </c>
      <c r="B53" t="s">
        <v>263</v>
      </c>
      <c r="C53" t="s">
        <v>129</v>
      </c>
      <c r="D53" t="s">
        <v>264</v>
      </c>
      <c r="E53" t="s">
        <v>130</v>
      </c>
      <c r="F53" t="n">
        <v>98013</v>
      </c>
      <c r="G53" t="n">
        <v>88051</v>
      </c>
      <c r="H53" t="n">
        <v>85745</v>
      </c>
      <c r="I53" t="n">
        <v>90626</v>
      </c>
      <c r="J53" t="n">
        <v>87325</v>
      </c>
      <c r="K53" t="n">
        <v>87204</v>
      </c>
      <c r="L53" t="n">
        <v>88418</v>
      </c>
      <c r="M53" t="n">
        <v>91661</v>
      </c>
      <c r="N53" t="n">
        <v>104945</v>
      </c>
      <c r="O53" t="n">
        <v>100904</v>
      </c>
      <c r="P53" t="n">
        <v>99718</v>
      </c>
      <c r="Q53" t="n">
        <v>100726</v>
      </c>
      <c r="R53" t="n">
        <v>102311</v>
      </c>
      <c r="S53" t="n">
        <v>99448</v>
      </c>
      <c r="T53" t="n">
        <v>88473</v>
      </c>
      <c r="U53" t="n">
        <v>92945</v>
      </c>
      <c r="V53" t="n">
        <v>94310</v>
      </c>
      <c r="W53" t="n">
        <v>83487</v>
      </c>
      <c r="X53" t="n">
        <v>92770</v>
      </c>
      <c r="Y53" t="n">
        <v>105381</v>
      </c>
      <c r="Z53" t="n">
        <v>113407</v>
      </c>
      <c r="AA53" t="n">
        <v>114926</v>
      </c>
      <c r="AB53" t="n">
        <v>116136</v>
      </c>
      <c r="AC53" t="n">
        <v>116671</v>
      </c>
      <c r="AD53" t="n">
        <v>118399</v>
      </c>
      <c r="AE53" t="n">
        <v>109652</v>
      </c>
      <c r="AF53" t="n">
        <v>115463</v>
      </c>
    </row>
    <row r="54">
      <c r="A54" t="s">
        <v>24</v>
      </c>
      <c r="B54" t="s">
        <v>265</v>
      </c>
      <c r="C54" t="s">
        <v>129</v>
      </c>
      <c r="D54" t="s">
        <v>266</v>
      </c>
      <c r="E54" t="s">
        <v>130</v>
      </c>
      <c r="F54" t="n">
        <v>212200</v>
      </c>
      <c r="G54" t="n">
        <v>193370</v>
      </c>
      <c r="H54" t="n">
        <v>197578</v>
      </c>
      <c r="I54" t="n">
        <v>207001</v>
      </c>
      <c r="J54" t="n">
        <v>194831</v>
      </c>
      <c r="K54" t="n">
        <v>189331</v>
      </c>
      <c r="L54" t="n">
        <v>183571</v>
      </c>
      <c r="M54" t="n">
        <v>188634</v>
      </c>
      <c r="N54" t="n">
        <v>203965</v>
      </c>
      <c r="O54" t="n">
        <v>201872</v>
      </c>
      <c r="P54" t="n">
        <v>215218</v>
      </c>
      <c r="Q54" t="n">
        <v>210868</v>
      </c>
      <c r="R54" t="n">
        <v>223764</v>
      </c>
      <c r="S54" t="n">
        <v>217043</v>
      </c>
      <c r="T54" t="n">
        <v>183816</v>
      </c>
      <c r="U54" t="n">
        <v>184458</v>
      </c>
      <c r="V54" t="n">
        <v>191068</v>
      </c>
      <c r="W54" t="n">
        <v>188606</v>
      </c>
      <c r="X54" t="n">
        <v>213554</v>
      </c>
      <c r="Y54" t="n">
        <v>227335</v>
      </c>
      <c r="Z54" t="n">
        <v>239557</v>
      </c>
      <c r="AA54" t="n">
        <v>232048</v>
      </c>
      <c r="AB54" t="n">
        <v>232903</v>
      </c>
      <c r="AC54" t="n">
        <v>231641</v>
      </c>
      <c r="AD54" t="n">
        <v>240741</v>
      </c>
      <c r="AE54" t="n">
        <v>234627</v>
      </c>
      <c r="AF54" t="n">
        <v>254234</v>
      </c>
    </row>
    <row r="55">
      <c r="A55" t="s">
        <v>24</v>
      </c>
      <c r="B55" t="s">
        <v>267</v>
      </c>
      <c r="C55" t="s">
        <v>129</v>
      </c>
      <c r="D55" t="s">
        <v>268</v>
      </c>
      <c r="E55" t="s">
        <v>130</v>
      </c>
      <c r="F55" t="n">
        <v>114187</v>
      </c>
      <c r="G55" t="n">
        <v>105319</v>
      </c>
      <c r="H55" t="n">
        <v>111833</v>
      </c>
      <c r="I55" t="n">
        <v>116375</v>
      </c>
      <c r="J55" t="n">
        <v>107506</v>
      </c>
      <c r="K55" t="n">
        <v>102127</v>
      </c>
      <c r="L55" t="n">
        <v>95153</v>
      </c>
      <c r="M55" t="n">
        <v>96973</v>
      </c>
      <c r="N55" t="n">
        <v>99020</v>
      </c>
      <c r="O55" t="n">
        <v>100968</v>
      </c>
      <c r="P55" t="n">
        <v>115500</v>
      </c>
      <c r="Q55" t="n">
        <v>110142</v>
      </c>
      <c r="R55" t="n">
        <v>121453</v>
      </c>
      <c r="S55" t="n">
        <v>117595</v>
      </c>
      <c r="T55" t="n">
        <v>95343</v>
      </c>
      <c r="U55" t="n">
        <v>91513</v>
      </c>
      <c r="V55" t="n">
        <v>96758</v>
      </c>
      <c r="W55" t="n">
        <v>105119</v>
      </c>
      <c r="X55" t="n">
        <v>120784</v>
      </c>
      <c r="Y55" t="n">
        <v>121954</v>
      </c>
      <c r="Z55" t="n">
        <v>126150</v>
      </c>
      <c r="AA55" t="n">
        <v>117122</v>
      </c>
      <c r="AB55" t="n">
        <v>116767</v>
      </c>
      <c r="AC55" t="n">
        <v>114970</v>
      </c>
      <c r="AD55" t="n">
        <v>122342</v>
      </c>
      <c r="AE55" t="n">
        <v>124975</v>
      </c>
      <c r="AF55" t="n">
        <v>138771</v>
      </c>
    </row>
    <row r="56">
      <c r="A56" t="s">
        <v>24</v>
      </c>
      <c r="B56" t="s">
        <v>269</v>
      </c>
      <c r="C56" t="s">
        <v>129</v>
      </c>
      <c r="D56" t="s">
        <v>270</v>
      </c>
      <c r="E56" t="s">
        <v>130</v>
      </c>
      <c r="F56" t="n">
        <v>5893</v>
      </c>
      <c r="G56" t="n">
        <v>7677</v>
      </c>
      <c r="H56" t="n">
        <v>11073</v>
      </c>
      <c r="I56" t="n">
        <v>13959</v>
      </c>
      <c r="J56" t="n">
        <v>16015</v>
      </c>
      <c r="K56" t="n">
        <v>16927</v>
      </c>
      <c r="L56" t="n">
        <v>14368</v>
      </c>
      <c r="M56" t="n">
        <v>12834</v>
      </c>
      <c r="N56" t="n">
        <v>11592</v>
      </c>
      <c r="O56" t="n">
        <v>11142</v>
      </c>
      <c r="P56" t="n">
        <v>9738</v>
      </c>
      <c r="Q56" t="n">
        <v>10836</v>
      </c>
      <c r="R56" t="n">
        <v>9882</v>
      </c>
      <c r="S56" t="n">
        <v>8281</v>
      </c>
      <c r="T56" t="n">
        <v>9380</v>
      </c>
      <c r="U56" t="n">
        <v>8671</v>
      </c>
      <c r="V56" t="n">
        <v>9216</v>
      </c>
      <c r="W56" t="n">
        <v>9377</v>
      </c>
      <c r="X56" t="n">
        <v>8856</v>
      </c>
      <c r="Y56" t="n">
        <v>9090</v>
      </c>
      <c r="Z56" t="n">
        <v>12492</v>
      </c>
      <c r="AA56" t="n">
        <v>12960</v>
      </c>
      <c r="AB56" t="n">
        <v>10736</v>
      </c>
      <c r="AC56" t="n">
        <v>16236</v>
      </c>
      <c r="AD56" t="n">
        <v>14670</v>
      </c>
      <c r="AE56" t="n">
        <v>13267</v>
      </c>
      <c r="AF56" t="n">
        <v>11644</v>
      </c>
    </row>
    <row r="57">
      <c r="A57" t="s">
        <v>24</v>
      </c>
      <c r="B57" t="s">
        <v>271</v>
      </c>
      <c r="C57" t="s">
        <v>129</v>
      </c>
      <c r="D57" t="s">
        <v>272</v>
      </c>
      <c r="E57" t="s">
        <v>130</v>
      </c>
      <c r="F57" t="n">
        <v>6184606</v>
      </c>
      <c r="G57" t="n">
        <v>6074589</v>
      </c>
      <c r="H57" t="n">
        <v>6201483</v>
      </c>
      <c r="I57" t="n">
        <v>6305647</v>
      </c>
      <c r="J57" t="n">
        <v>6406495</v>
      </c>
      <c r="K57" t="n">
        <v>6462352</v>
      </c>
      <c r="L57" t="n">
        <v>6436839</v>
      </c>
      <c r="M57" t="n">
        <v>6387991</v>
      </c>
      <c r="N57" t="n">
        <v>6522931</v>
      </c>
      <c r="O57" t="n">
        <v>6467886</v>
      </c>
      <c r="P57" t="n">
        <v>6449477</v>
      </c>
      <c r="Q57" t="n">
        <v>6458705</v>
      </c>
      <c r="R57" t="n">
        <v>6357400</v>
      </c>
      <c r="S57" t="n">
        <v>6210144</v>
      </c>
      <c r="T57" t="n">
        <v>6091577</v>
      </c>
      <c r="U57" t="n">
        <v>6077497</v>
      </c>
      <c r="V57" t="n">
        <v>6021030</v>
      </c>
      <c r="W57" t="n">
        <v>6040990</v>
      </c>
      <c r="X57" t="n">
        <v>6202954</v>
      </c>
      <c r="Y57" t="n">
        <v>6560251</v>
      </c>
      <c r="Z57" t="n">
        <v>6738373</v>
      </c>
      <c r="AA57" t="n">
        <v>7035632</v>
      </c>
      <c r="AB57" t="n">
        <v>7096475</v>
      </c>
      <c r="AC57" t="n">
        <v>7159399</v>
      </c>
      <c r="AD57" t="n">
        <v>7198776</v>
      </c>
      <c r="AE57" t="n">
        <v>6882294</v>
      </c>
      <c r="AF57" t="n">
        <v>7079848</v>
      </c>
    </row>
    <row r="58">
      <c r="A58" t="s">
        <v>24</v>
      </c>
      <c r="B58" t="s">
        <v>273</v>
      </c>
      <c r="C58" t="s">
        <v>129</v>
      </c>
      <c r="D58" t="s">
        <v>274</v>
      </c>
      <c r="E58" t="s">
        <v>130</v>
      </c>
      <c r="F58" t="n">
        <v>6178713</v>
      </c>
      <c r="G58" t="n">
        <v>6066912</v>
      </c>
      <c r="H58" t="n">
        <v>6190410</v>
      </c>
      <c r="I58" t="n">
        <v>6291688</v>
      </c>
      <c r="J58" t="n">
        <v>6390480</v>
      </c>
      <c r="K58" t="n">
        <v>6445425</v>
      </c>
      <c r="L58" t="n">
        <v>6422471</v>
      </c>
      <c r="M58" t="n">
        <v>6375157</v>
      </c>
      <c r="N58" t="n">
        <v>6511339</v>
      </c>
      <c r="O58" t="n">
        <v>6456744</v>
      </c>
      <c r="P58" t="n">
        <v>6439739</v>
      </c>
      <c r="Q58" t="n">
        <v>6447869</v>
      </c>
      <c r="R58" t="n">
        <v>6347518</v>
      </c>
      <c r="S58" t="n">
        <v>6201863</v>
      </c>
      <c r="T58" t="n">
        <v>6082197</v>
      </c>
      <c r="U58" t="n">
        <v>6068826</v>
      </c>
      <c r="V58" t="n">
        <v>6011814</v>
      </c>
      <c r="W58" t="n">
        <v>6031613</v>
      </c>
      <c r="X58" t="n">
        <v>6194098</v>
      </c>
      <c r="Y58" t="n">
        <v>6551161</v>
      </c>
      <c r="Z58" t="n">
        <v>6725881</v>
      </c>
      <c r="AA58" t="n">
        <v>7022672</v>
      </c>
      <c r="AB58" t="n">
        <v>7085739</v>
      </c>
      <c r="AC58" t="n">
        <v>7143161</v>
      </c>
      <c r="AD58" t="n">
        <v>7184106</v>
      </c>
      <c r="AE58" t="n">
        <v>6869029</v>
      </c>
      <c r="AF58" t="n">
        <v>7068204</v>
      </c>
    </row>
    <row r="59">
      <c r="A59" t="s">
        <v>24</v>
      </c>
      <c r="B59" t="s">
        <v>275</v>
      </c>
      <c r="C59" t="s">
        <v>129</v>
      </c>
      <c r="D59" t="s">
        <v>276</v>
      </c>
      <c r="E59" t="s">
        <v>130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>
      <c r="A2" t="s">
        <v>27</v>
      </c>
      <c r="B2" t="s">
        <v>84</v>
      </c>
      <c r="C2" t="s">
        <v>129</v>
      </c>
      <c r="D2" t="s">
        <v>86</v>
      </c>
      <c r="E2" t="s">
        <v>130</v>
      </c>
      <c r="F2" t="n">
        <v>32.0247472272588</v>
      </c>
      <c r="G2" t="n">
        <v>37.8656672079986</v>
      </c>
      <c r="H2" t="n">
        <v>42.6698946884232</v>
      </c>
      <c r="I2" t="n">
        <v>46.0340343374171</v>
      </c>
      <c r="J2" t="n">
        <v>44.0645640399583</v>
      </c>
      <c r="K2" t="n">
        <v>52.121871448888</v>
      </c>
      <c r="L2" t="n">
        <v>53.1647395770533</v>
      </c>
      <c r="M2" t="n">
        <v>61.7723378347266</v>
      </c>
      <c r="N2" t="n">
        <v>60.5336731774428</v>
      </c>
      <c r="O2" t="n">
        <v>49.6384353518006</v>
      </c>
      <c r="P2" t="n">
        <v>48.2040460270735</v>
      </c>
      <c r="Q2" t="n">
        <v>52.7000304639027</v>
      </c>
      <c r="R2" t="n">
        <v>68.7153041367732</v>
      </c>
      <c r="S2" t="n">
        <v>46.6715033935972</v>
      </c>
      <c r="T2" t="n">
        <v>45.2283653755007</v>
      </c>
      <c r="U2" t="n">
        <v>60.4583004612726</v>
      </c>
      <c r="V2" t="n">
        <v>71.1599232331646</v>
      </c>
      <c r="W2" t="n">
        <v>89.8445343730556</v>
      </c>
      <c r="X2" t="n">
        <v>82.7922685063619</v>
      </c>
      <c r="Y2" t="n">
        <v>78.2280200268395</v>
      </c>
      <c r="Z2" t="n">
        <v>80.4503531170998</v>
      </c>
      <c r="AA2" t="n">
        <v>75.9521005559155</v>
      </c>
      <c r="AB2" t="n">
        <v>85.2141868127355</v>
      </c>
      <c r="AC2" t="n">
        <v>83.0931043562542</v>
      </c>
      <c r="AD2" t="n">
        <v>89.0082403923022</v>
      </c>
      <c r="AE2" t="n">
        <v>100</v>
      </c>
      <c r="AF2" t="n">
        <v>115.247422587641</v>
      </c>
    </row>
    <row r="3">
      <c r="A3" t="s">
        <v>27</v>
      </c>
      <c r="B3" t="s">
        <v>163</v>
      </c>
      <c r="C3" t="s">
        <v>129</v>
      </c>
      <c r="D3" t="s">
        <v>164</v>
      </c>
      <c r="E3" t="s">
        <v>130</v>
      </c>
      <c r="F3" t="n">
        <v>43.4203238802903</v>
      </c>
      <c r="G3" t="n">
        <v>49.6515751634379</v>
      </c>
      <c r="H3" t="n">
        <v>63.4458260065097</v>
      </c>
      <c r="I3" t="n">
        <v>70.549467022137</v>
      </c>
      <c r="J3" t="n">
        <v>82.1921301157742</v>
      </c>
      <c r="K3" t="n">
        <v>93.8325449968002</v>
      </c>
      <c r="L3" t="n">
        <v>101.254499834682</v>
      </c>
      <c r="M3" t="n">
        <v>110.693478632831</v>
      </c>
      <c r="N3" t="n">
        <v>109.455893956028</v>
      </c>
      <c r="O3" t="n">
        <v>111.180823835858</v>
      </c>
      <c r="P3" t="n">
        <v>110.802593038864</v>
      </c>
      <c r="Q3" t="n">
        <v>108.990020649064</v>
      </c>
      <c r="R3" t="n">
        <v>111.512635234878</v>
      </c>
      <c r="S3" t="n">
        <v>107.8487522945</v>
      </c>
      <c r="T3" t="n">
        <v>70.8436315959588</v>
      </c>
      <c r="U3" t="n">
        <v>87.5678459463139</v>
      </c>
      <c r="V3" t="n">
        <v>92.959561202796</v>
      </c>
      <c r="W3" t="n">
        <v>123.337585988517</v>
      </c>
      <c r="X3" t="n">
        <v>104.370412401403</v>
      </c>
      <c r="Y3" t="n">
        <v>101.240337924911</v>
      </c>
      <c r="Z3" t="n">
        <v>102.727187362726</v>
      </c>
      <c r="AA3" t="n">
        <v>98.3164571364245</v>
      </c>
      <c r="AB3" t="n">
        <v>109.421098562656</v>
      </c>
      <c r="AC3" t="n">
        <v>107.895843634665</v>
      </c>
      <c r="AD3" t="n">
        <v>102.815118050267</v>
      </c>
      <c r="AE3" t="n">
        <v>100</v>
      </c>
      <c r="AF3" t="n">
        <v>138.518389402127</v>
      </c>
    </row>
    <row r="4">
      <c r="A4" t="s">
        <v>27</v>
      </c>
      <c r="B4" t="s">
        <v>165</v>
      </c>
      <c r="C4" t="s">
        <v>129</v>
      </c>
      <c r="D4" t="s">
        <v>166</v>
      </c>
      <c r="E4" t="s">
        <v>130</v>
      </c>
      <c r="F4" t="n">
        <v>27.6673148016276</v>
      </c>
      <c r="G4" t="n">
        <v>32.0811177833708</v>
      </c>
      <c r="H4" t="n">
        <v>38.1284908428419</v>
      </c>
      <c r="I4" t="n">
        <v>41.606265944391</v>
      </c>
      <c r="J4" t="n">
        <v>42.2881109851207</v>
      </c>
      <c r="K4" t="n">
        <v>45.7476114676709</v>
      </c>
      <c r="L4" t="n">
        <v>50.7314881795469</v>
      </c>
      <c r="M4" t="n">
        <v>51.8353218828072</v>
      </c>
      <c r="N4" t="n">
        <v>52.5342629330833</v>
      </c>
      <c r="O4" t="n">
        <v>55.7705176686973</v>
      </c>
      <c r="P4" t="n">
        <v>56.8746982458844</v>
      </c>
      <c r="Q4" t="n">
        <v>59.4487887673944</v>
      </c>
      <c r="R4" t="n">
        <v>57.298715877848</v>
      </c>
      <c r="S4" t="n">
        <v>60.1908279654625</v>
      </c>
      <c r="T4" t="n">
        <v>66.7751566598226</v>
      </c>
      <c r="U4" t="n">
        <v>66.8767741531595</v>
      </c>
      <c r="V4" t="n">
        <v>70.3767583328367</v>
      </c>
      <c r="W4" t="n">
        <v>72.5465485680711</v>
      </c>
      <c r="X4" t="n">
        <v>78.6257932978389</v>
      </c>
      <c r="Y4" t="n">
        <v>82.4183104855781</v>
      </c>
      <c r="Z4" t="n">
        <v>84.0632476273401</v>
      </c>
      <c r="AA4" t="n">
        <v>84.1711146694568</v>
      </c>
      <c r="AB4" t="n">
        <v>86.263197501544</v>
      </c>
      <c r="AC4" t="n">
        <v>89.7198859983614</v>
      </c>
      <c r="AD4" t="n">
        <v>91.2292645909186</v>
      </c>
      <c r="AE4" t="n">
        <v>100</v>
      </c>
      <c r="AF4" t="n">
        <v>101.760273508032</v>
      </c>
    </row>
    <row r="5">
      <c r="A5" t="s">
        <v>27</v>
      </c>
      <c r="B5" t="s">
        <v>167</v>
      </c>
      <c r="C5" t="s">
        <v>129</v>
      </c>
      <c r="D5" t="s">
        <v>168</v>
      </c>
      <c r="E5" t="s">
        <v>130</v>
      </c>
      <c r="F5" t="n">
        <v>13.4660183634043</v>
      </c>
      <c r="G5" t="n">
        <v>14.9221381619936</v>
      </c>
      <c r="H5" t="n">
        <v>21.4896936760282</v>
      </c>
      <c r="I5" t="n">
        <v>26.069021525898</v>
      </c>
      <c r="J5" t="n">
        <v>25.9945877031944</v>
      </c>
      <c r="K5" t="n">
        <v>30.0002505331863</v>
      </c>
      <c r="L5" t="n">
        <v>49.5680099237915</v>
      </c>
      <c r="M5" t="n">
        <v>51.6478749414676</v>
      </c>
      <c r="N5" t="n">
        <v>49.3612263963513</v>
      </c>
      <c r="O5" t="n">
        <v>56.0731947342873</v>
      </c>
      <c r="P5" t="n">
        <v>54.9864710900545</v>
      </c>
      <c r="Q5" t="n">
        <v>54.8034960809211</v>
      </c>
      <c r="R5" t="n">
        <v>53.8892397850365</v>
      </c>
      <c r="S5" t="n">
        <v>66.3790469667038</v>
      </c>
      <c r="T5" t="n">
        <v>69.7794970144141</v>
      </c>
      <c r="U5" t="n">
        <v>62.7073783995736</v>
      </c>
      <c r="V5" t="n">
        <v>69.580331538589</v>
      </c>
      <c r="W5" t="n">
        <v>67.1640203781177</v>
      </c>
      <c r="X5" t="n">
        <v>80.2695691928353</v>
      </c>
      <c r="Y5" t="n">
        <v>84.3791396119283</v>
      </c>
      <c r="Z5" t="n">
        <v>81.8863865479132</v>
      </c>
      <c r="AA5" t="n">
        <v>82.6246735378592</v>
      </c>
      <c r="AB5" t="n">
        <v>85.341029023573</v>
      </c>
      <c r="AC5" t="n">
        <v>85.3928140896969</v>
      </c>
      <c r="AD5" t="n">
        <v>90.392987798872</v>
      </c>
      <c r="AE5" t="n">
        <v>100</v>
      </c>
      <c r="AF5" t="n">
        <v>97.1360483560828</v>
      </c>
    </row>
    <row r="6">
      <c r="A6" t="s">
        <v>27</v>
      </c>
      <c r="B6" t="s">
        <v>169</v>
      </c>
      <c r="C6" t="s">
        <v>129</v>
      </c>
      <c r="D6" t="s">
        <v>170</v>
      </c>
      <c r="E6" t="s">
        <v>130</v>
      </c>
      <c r="F6" t="n">
        <v>30.7228025469659</v>
      </c>
      <c r="G6" t="n">
        <v>35.0675266438723</v>
      </c>
      <c r="H6" t="n">
        <v>41.6933162533668</v>
      </c>
      <c r="I6" t="n">
        <v>48.3288467882819</v>
      </c>
      <c r="J6" t="n">
        <v>55.8478144267315</v>
      </c>
      <c r="K6" t="n">
        <v>57.1917942495274</v>
      </c>
      <c r="L6" t="n">
        <v>58.1243202422167</v>
      </c>
      <c r="M6" t="n">
        <v>57.8465044852152</v>
      </c>
      <c r="N6" t="n">
        <v>58.1794354664294</v>
      </c>
      <c r="O6" t="n">
        <v>61.5409751022329</v>
      </c>
      <c r="P6" t="n">
        <v>63.7636488755846</v>
      </c>
      <c r="Q6" t="n">
        <v>66.6145992225982</v>
      </c>
      <c r="R6" t="n">
        <v>66.6864487078033</v>
      </c>
      <c r="S6" t="n">
        <v>66.2927634839453</v>
      </c>
      <c r="T6" t="n">
        <v>71.4392400988318</v>
      </c>
      <c r="U6" t="n">
        <v>68.9303032224954</v>
      </c>
      <c r="V6" t="n">
        <v>71.8276043944353</v>
      </c>
      <c r="W6" t="n">
        <v>75.5613150527549</v>
      </c>
      <c r="X6" t="n">
        <v>78.8228951473717</v>
      </c>
      <c r="Y6" t="n">
        <v>81.100066393404</v>
      </c>
      <c r="Z6" t="n">
        <v>82.5655394795173</v>
      </c>
      <c r="AA6" t="n">
        <v>82.8569736400478</v>
      </c>
      <c r="AB6" t="n">
        <v>80.4014614338209</v>
      </c>
      <c r="AC6" t="n">
        <v>85.6574980723297</v>
      </c>
      <c r="AD6" t="n">
        <v>90.3734284105836</v>
      </c>
      <c r="AE6" t="n">
        <v>100</v>
      </c>
      <c r="AF6" t="n">
        <v>98.6916529627555</v>
      </c>
    </row>
    <row r="7">
      <c r="A7" t="s">
        <v>27</v>
      </c>
      <c r="B7" t="s">
        <v>171</v>
      </c>
      <c r="C7" t="s">
        <v>129</v>
      </c>
      <c r="D7" t="s">
        <v>172</v>
      </c>
      <c r="E7" t="s">
        <v>130</v>
      </c>
      <c r="F7" t="n">
        <v>34.3686971276521</v>
      </c>
      <c r="G7" t="n">
        <v>39.2524851236962</v>
      </c>
      <c r="H7" t="n">
        <v>43.5144537494161</v>
      </c>
      <c r="I7" t="n">
        <v>46.1686099962083</v>
      </c>
      <c r="J7" t="n">
        <v>49.414817878469</v>
      </c>
      <c r="K7" t="n">
        <v>51.3237462966515</v>
      </c>
      <c r="L7" t="n">
        <v>56.2994610410415</v>
      </c>
      <c r="M7" t="n">
        <v>56.71823322153</v>
      </c>
      <c r="N7" t="n">
        <v>56.1434944974401</v>
      </c>
      <c r="O7" t="n">
        <v>56.0648431726388</v>
      </c>
      <c r="P7" t="n">
        <v>55.2785485679092</v>
      </c>
      <c r="Q7" t="n">
        <v>55.3320308930215</v>
      </c>
      <c r="R7" t="n">
        <v>61.3888085228624</v>
      </c>
      <c r="S7" t="n">
        <v>61.0361806953222</v>
      </c>
      <c r="T7" t="n">
        <v>62.8002446632743</v>
      </c>
      <c r="U7" t="n">
        <v>59.6613115347222</v>
      </c>
      <c r="V7" t="n">
        <v>66.2631061183138</v>
      </c>
      <c r="W7" t="n">
        <v>70.2740648741546</v>
      </c>
      <c r="X7" t="n">
        <v>74.704255811577</v>
      </c>
      <c r="Y7" t="n">
        <v>79.728918033484</v>
      </c>
      <c r="Z7" t="n">
        <v>84.1888025780263</v>
      </c>
      <c r="AA7" t="n">
        <v>86.5779749791606</v>
      </c>
      <c r="AB7" t="n">
        <v>87.0619156574453</v>
      </c>
      <c r="AC7" t="n">
        <v>89.9817497611519</v>
      </c>
      <c r="AD7" t="n">
        <v>93.1281160806659</v>
      </c>
      <c r="AE7" t="n">
        <v>100</v>
      </c>
      <c r="AF7" t="n">
        <v>108.477833054235</v>
      </c>
    </row>
    <row r="8">
      <c r="A8" t="s">
        <v>27</v>
      </c>
      <c r="B8" t="s">
        <v>173</v>
      </c>
      <c r="C8" t="s">
        <v>129</v>
      </c>
      <c r="D8" t="s">
        <v>174</v>
      </c>
      <c r="E8" t="s">
        <v>130</v>
      </c>
      <c r="F8" t="n">
        <v>4.92315321332659</v>
      </c>
      <c r="G8" t="n">
        <v>6.52077450157626</v>
      </c>
      <c r="H8" t="n">
        <v>8.85766590550077</v>
      </c>
      <c r="I8" t="n">
        <v>8.55857974026679</v>
      </c>
      <c r="J8" t="n">
        <v>9.79039499647638</v>
      </c>
      <c r="K8" t="n">
        <v>18.5085401155534</v>
      </c>
      <c r="L8" t="n">
        <v>22.4985686971271</v>
      </c>
      <c r="M8" t="n">
        <v>27.2681326313327</v>
      </c>
      <c r="N8" t="n">
        <v>25.7699856850236</v>
      </c>
      <c r="O8" t="n">
        <v>32.5320134605986</v>
      </c>
      <c r="P8" t="n">
        <v>39.198982868437</v>
      </c>
      <c r="Q8" t="n">
        <v>44.269661600757</v>
      </c>
      <c r="R8" t="n">
        <v>39.3970645856921</v>
      </c>
      <c r="S8" t="n">
        <v>43.8712243673388</v>
      </c>
      <c r="T8" t="n">
        <v>36.0618714125689</v>
      </c>
      <c r="U8" t="n">
        <v>51.4264006891473</v>
      </c>
      <c r="V8" t="n">
        <v>108.461910662866</v>
      </c>
      <c r="W8" t="n">
        <v>127.398238664933</v>
      </c>
      <c r="X8" t="n">
        <v>121.918445212717</v>
      </c>
      <c r="Y8" t="n">
        <v>119.086508141282</v>
      </c>
      <c r="Z8" t="n">
        <v>101.787737229972</v>
      </c>
      <c r="AA8" t="n">
        <v>93.4617917523537</v>
      </c>
      <c r="AB8" t="n">
        <v>103.980757650512</v>
      </c>
      <c r="AC8" t="n">
        <v>106.27149987205</v>
      </c>
      <c r="AD8" t="n">
        <v>114.254428199612</v>
      </c>
      <c r="AE8" t="n">
        <v>100</v>
      </c>
      <c r="AF8" t="n">
        <v>128.103832340774</v>
      </c>
    </row>
    <row r="9">
      <c r="A9" t="s">
        <v>27</v>
      </c>
      <c r="B9" t="s">
        <v>175</v>
      </c>
      <c r="C9" t="s">
        <v>129</v>
      </c>
      <c r="D9" t="s">
        <v>176</v>
      </c>
      <c r="E9" t="s">
        <v>130</v>
      </c>
      <c r="F9" t="n">
        <v>2.50678414087248</v>
      </c>
      <c r="G9" t="n">
        <v>2.89833331292511</v>
      </c>
      <c r="H9" t="n">
        <v>3.94020729330357</v>
      </c>
      <c r="I9" t="n">
        <v>4.85937612596077</v>
      </c>
      <c r="J9" t="n">
        <v>5.73540804605738</v>
      </c>
      <c r="K9" t="n">
        <v>9.29298446293195</v>
      </c>
      <c r="L9" t="n">
        <v>11.046322021378</v>
      </c>
      <c r="M9" t="n">
        <v>11.3968677677558</v>
      </c>
      <c r="N9" t="n">
        <v>11.7683763661561</v>
      </c>
      <c r="O9" t="n">
        <v>12.1464212288603</v>
      </c>
      <c r="P9" t="n">
        <v>13.1535759914522</v>
      </c>
      <c r="Q9" t="n">
        <v>16.8313946241609</v>
      </c>
      <c r="R9" t="n">
        <v>17.3855270728829</v>
      </c>
      <c r="S9" t="n">
        <v>15.7035462312997</v>
      </c>
      <c r="T9" t="n">
        <v>20.4438261573891</v>
      </c>
      <c r="U9" t="n">
        <v>28.1538058553328</v>
      </c>
      <c r="V9" t="n">
        <v>35.4333778910758</v>
      </c>
      <c r="W9" t="n">
        <v>42.3317709533271</v>
      </c>
      <c r="X9" t="n">
        <v>56.5132998351851</v>
      </c>
      <c r="Y9" t="n">
        <v>67.0392683808876</v>
      </c>
      <c r="Z9" t="n">
        <v>77.2645719516186</v>
      </c>
      <c r="AA9" t="n">
        <v>76.8216132423995</v>
      </c>
      <c r="AB9" t="n">
        <v>89.8509923399401</v>
      </c>
      <c r="AC9" t="n">
        <v>88.8339236604017</v>
      </c>
      <c r="AD9" t="n">
        <v>85.7086971650466</v>
      </c>
      <c r="AE9" t="n">
        <v>100</v>
      </c>
      <c r="AF9" t="n">
        <v>143.031302588895</v>
      </c>
    </row>
    <row r="10">
      <c r="A10" t="s">
        <v>27</v>
      </c>
      <c r="B10" t="s">
        <v>177</v>
      </c>
      <c r="C10" t="s">
        <v>129</v>
      </c>
      <c r="D10" t="s">
        <v>178</v>
      </c>
      <c r="E10" t="s">
        <v>130</v>
      </c>
      <c r="F10" t="n">
        <v>8.23860824547328</v>
      </c>
      <c r="G10" t="n">
        <v>9.68418318153827</v>
      </c>
      <c r="H10" t="n">
        <v>12.657482897316</v>
      </c>
      <c r="I10" t="n">
        <v>15.3016004681383</v>
      </c>
      <c r="J10" t="n">
        <v>17.8842324146877</v>
      </c>
      <c r="K10" t="n">
        <v>25.2857615706247</v>
      </c>
      <c r="L10" t="n">
        <v>28.7160885423314</v>
      </c>
      <c r="M10" t="n">
        <v>29.1932470341007</v>
      </c>
      <c r="N10" t="n">
        <v>29.5417461395764</v>
      </c>
      <c r="O10" t="n">
        <v>30.5664052756515</v>
      </c>
      <c r="P10" t="n">
        <v>32.4620521981407</v>
      </c>
      <c r="Q10" t="n">
        <v>37.1566668524087</v>
      </c>
      <c r="R10" t="n">
        <v>38.4092947762202</v>
      </c>
      <c r="S10" t="n">
        <v>36.6457149231078</v>
      </c>
      <c r="T10" t="n">
        <v>43.5414363891704</v>
      </c>
      <c r="U10" t="n">
        <v>47.4747568816982</v>
      </c>
      <c r="V10" t="n">
        <v>51.1132937524903</v>
      </c>
      <c r="W10" t="n">
        <v>56.6160103129059</v>
      </c>
      <c r="X10" t="n">
        <v>68.085217757602</v>
      </c>
      <c r="Y10" t="n">
        <v>75.8583248364823</v>
      </c>
      <c r="Z10" t="n">
        <v>83.9596423081268</v>
      </c>
      <c r="AA10" t="n">
        <v>83.1191286894972</v>
      </c>
      <c r="AB10" t="n">
        <v>92.6014478750354</v>
      </c>
      <c r="AC10" t="n">
        <v>91.0474604520773</v>
      </c>
      <c r="AD10" t="n">
        <v>90.9653393955269</v>
      </c>
      <c r="AE10" t="n">
        <v>100</v>
      </c>
      <c r="AF10" t="n">
        <v>122.249799698716</v>
      </c>
    </row>
    <row r="11">
      <c r="A11" t="s">
        <v>27</v>
      </c>
      <c r="B11" t="s">
        <v>179</v>
      </c>
      <c r="C11" t="s">
        <v>129</v>
      </c>
      <c r="D11" t="s">
        <v>180</v>
      </c>
      <c r="E11" t="s">
        <v>130</v>
      </c>
      <c r="F11" t="n">
        <v>15.2683262531916</v>
      </c>
      <c r="G11" t="n">
        <v>18.246115776155</v>
      </c>
      <c r="H11" t="n">
        <v>23.0268459329098</v>
      </c>
      <c r="I11" t="n">
        <v>27.3558863337522</v>
      </c>
      <c r="J11" t="n">
        <v>31.71526821198</v>
      </c>
      <c r="K11" t="n">
        <v>40.8170067713861</v>
      </c>
      <c r="L11" t="n">
        <v>44.8314261256853</v>
      </c>
      <c r="M11" t="n">
        <v>45.1170829432349</v>
      </c>
      <c r="N11" t="n">
        <v>45.1418892671084</v>
      </c>
      <c r="O11" t="n">
        <v>46.7764465805407</v>
      </c>
      <c r="P11" t="n">
        <v>49.1713694345442</v>
      </c>
      <c r="Q11" t="n">
        <v>53.131686159075</v>
      </c>
      <c r="R11" t="n">
        <v>54.952674411971</v>
      </c>
      <c r="S11" t="n">
        <v>54.3536753274364</v>
      </c>
      <c r="T11" t="n">
        <v>62.4937814284101</v>
      </c>
      <c r="U11" t="n">
        <v>63.3862769959294</v>
      </c>
      <c r="V11" t="n">
        <v>64.605891903163</v>
      </c>
      <c r="W11" t="n">
        <v>69.3681249804423</v>
      </c>
      <c r="X11" t="n">
        <v>78.9703269752359</v>
      </c>
      <c r="Y11" t="n">
        <v>84.4926871302746</v>
      </c>
      <c r="Z11" t="n">
        <v>90.4002889694349</v>
      </c>
      <c r="AA11" t="n">
        <v>89.1471010613611</v>
      </c>
      <c r="AB11" t="n">
        <v>95.0001681883452</v>
      </c>
      <c r="AC11" t="n">
        <v>92.9016656869283</v>
      </c>
      <c r="AD11" t="n">
        <v>95.4303632764133</v>
      </c>
      <c r="AE11" t="n">
        <v>100</v>
      </c>
      <c r="AF11" t="n">
        <v>104.057032851569</v>
      </c>
    </row>
    <row r="12">
      <c r="A12" t="s">
        <v>27</v>
      </c>
      <c r="B12" t="s">
        <v>181</v>
      </c>
      <c r="C12" t="s">
        <v>129</v>
      </c>
      <c r="D12" t="s">
        <v>182</v>
      </c>
      <c r="E12" t="s">
        <v>130</v>
      </c>
      <c r="F12" t="n">
        <v>29.4470672345892</v>
      </c>
      <c r="G12" t="n">
        <v>35.6095675353014</v>
      </c>
      <c r="H12" t="n">
        <v>40.028552701839</v>
      </c>
      <c r="I12" t="n">
        <v>43.8996095197735</v>
      </c>
      <c r="J12" t="n">
        <v>47.1774108367799</v>
      </c>
      <c r="K12" t="n">
        <v>50.0538037677378</v>
      </c>
      <c r="L12" t="n">
        <v>53.7996908581749</v>
      </c>
      <c r="M12" t="n">
        <v>54.8951420277502</v>
      </c>
      <c r="N12" t="n">
        <v>53.8466104319567</v>
      </c>
      <c r="O12" t="n">
        <v>52.5312500978163</v>
      </c>
      <c r="P12" t="n">
        <v>53.2820320343367</v>
      </c>
      <c r="Q12" t="n">
        <v>53.0126253152191</v>
      </c>
      <c r="R12" t="n">
        <v>56.6001755873004</v>
      </c>
      <c r="S12" t="n">
        <v>55.9541523146987</v>
      </c>
      <c r="T12" t="n">
        <v>66.4506424821781</v>
      </c>
      <c r="U12" t="n">
        <v>63.6760644274178</v>
      </c>
      <c r="V12" t="n">
        <v>65.9144681597835</v>
      </c>
      <c r="W12" t="n">
        <v>70.5097020529632</v>
      </c>
      <c r="X12" t="n">
        <v>77.6770025418328</v>
      </c>
      <c r="Y12" t="n">
        <v>83.939496893932</v>
      </c>
      <c r="Z12" t="n">
        <v>87.1910149115022</v>
      </c>
      <c r="AA12" t="n">
        <v>88.1481313769915</v>
      </c>
      <c r="AB12" t="n">
        <v>83.9030578143654</v>
      </c>
      <c r="AC12" t="n">
        <v>85.489253427726</v>
      </c>
      <c r="AD12" t="n">
        <v>89.037055540077</v>
      </c>
      <c r="AE12" t="n">
        <v>100</v>
      </c>
      <c r="AF12" t="n">
        <v>100.329035325598</v>
      </c>
    </row>
    <row r="13">
      <c r="A13" t="s">
        <v>27</v>
      </c>
      <c r="B13" t="s">
        <v>183</v>
      </c>
      <c r="C13" t="s">
        <v>129</v>
      </c>
      <c r="D13" t="s">
        <v>184</v>
      </c>
      <c r="E13" t="s">
        <v>130</v>
      </c>
      <c r="F13" t="n">
        <v>22.2928304868937</v>
      </c>
      <c r="G13" t="n">
        <v>24.994195071581</v>
      </c>
      <c r="H13" t="n">
        <v>27.1681962052025</v>
      </c>
      <c r="I13" t="n">
        <v>32.1340559685791</v>
      </c>
      <c r="J13" t="n">
        <v>31.9174236121416</v>
      </c>
      <c r="K13" t="n">
        <v>34.4030789895484</v>
      </c>
      <c r="L13" t="n">
        <v>38.0781786987047</v>
      </c>
      <c r="M13" t="n">
        <v>37.7392045802226</v>
      </c>
      <c r="N13" t="n">
        <v>38.3233638649396</v>
      </c>
      <c r="O13" t="n">
        <v>41.0635227014083</v>
      </c>
      <c r="P13" t="n">
        <v>41.6388460829832</v>
      </c>
      <c r="Q13" t="n">
        <v>42.93820465262</v>
      </c>
      <c r="R13" t="n">
        <v>44.0211926599575</v>
      </c>
      <c r="S13" t="n">
        <v>46.5597747450109</v>
      </c>
      <c r="T13" t="n">
        <v>61.1307934437138</v>
      </c>
      <c r="U13" t="n">
        <v>59.2281626724507</v>
      </c>
      <c r="V13" t="n">
        <v>67.2651682331189</v>
      </c>
      <c r="W13" t="n">
        <v>66.5821582748903</v>
      </c>
      <c r="X13" t="n">
        <v>69.2924048319022</v>
      </c>
      <c r="Y13" t="n">
        <v>75.4257960664701</v>
      </c>
      <c r="Z13" t="n">
        <v>79.1682518979287</v>
      </c>
      <c r="AA13" t="n">
        <v>80.373823562447</v>
      </c>
      <c r="AB13" t="n">
        <v>81.9918939219278</v>
      </c>
      <c r="AC13" t="n">
        <v>86.2877971403485</v>
      </c>
      <c r="AD13" t="n">
        <v>89.2659590372253</v>
      </c>
      <c r="AE13" t="n">
        <v>100</v>
      </c>
      <c r="AF13" t="n">
        <v>103.464845908718</v>
      </c>
    </row>
    <row r="14">
      <c r="A14" t="s">
        <v>27</v>
      </c>
      <c r="B14" t="s">
        <v>185</v>
      </c>
      <c r="C14" t="s">
        <v>129</v>
      </c>
      <c r="D14" t="s">
        <v>186</v>
      </c>
      <c r="E14" t="s">
        <v>130</v>
      </c>
      <c r="F14" t="n">
        <v>181.772710927055</v>
      </c>
      <c r="G14" t="n">
        <v>194.972333338272</v>
      </c>
      <c r="H14" t="n">
        <v>180.512212643032</v>
      </c>
      <c r="I14" t="n">
        <v>158.092100880543</v>
      </c>
      <c r="J14" t="n">
        <v>93.1089103397812</v>
      </c>
      <c r="K14" t="n">
        <v>82.7752330999394</v>
      </c>
      <c r="L14" t="n">
        <v>78.4659085438536</v>
      </c>
      <c r="M14" t="n">
        <v>82.7162793083999</v>
      </c>
      <c r="N14" t="n">
        <v>99.8182927295261</v>
      </c>
      <c r="O14" t="n">
        <v>109.130392804729</v>
      </c>
      <c r="P14" t="n">
        <v>101.161909487352</v>
      </c>
      <c r="Q14" t="n">
        <v>102.664115694849</v>
      </c>
      <c r="R14" t="n">
        <v>73.399782453055</v>
      </c>
      <c r="S14" t="n">
        <v>78.5625318946185</v>
      </c>
      <c r="T14" t="n">
        <v>93.8896275420254</v>
      </c>
      <c r="U14" t="n">
        <v>92.9007442570007</v>
      </c>
      <c r="V14" t="n">
        <v>79.9776055795077</v>
      </c>
      <c r="W14" t="n">
        <v>83.5747795402112</v>
      </c>
      <c r="X14" t="n">
        <v>83.4602044413445</v>
      </c>
      <c r="Y14" t="n">
        <v>79.6580979968628</v>
      </c>
      <c r="Z14" t="n">
        <v>77.7651265460105</v>
      </c>
      <c r="AA14" t="n">
        <v>73.9524205947783</v>
      </c>
      <c r="AB14" t="n">
        <v>79.8920569068439</v>
      </c>
      <c r="AC14" t="n">
        <v>93.0485266089237</v>
      </c>
      <c r="AD14" t="n">
        <v>92.8248787921523</v>
      </c>
      <c r="AE14" t="n">
        <v>100</v>
      </c>
      <c r="AF14" t="n">
        <v>96.706409872496</v>
      </c>
    </row>
    <row r="15">
      <c r="A15" t="s">
        <v>27</v>
      </c>
      <c r="B15" t="s">
        <v>187</v>
      </c>
      <c r="C15" t="s">
        <v>129</v>
      </c>
      <c r="D15" t="s">
        <v>188</v>
      </c>
      <c r="E15" t="s">
        <v>130</v>
      </c>
      <c r="F15" t="n">
        <v>91.1265745530548</v>
      </c>
      <c r="G15" t="n">
        <v>103.080959153402</v>
      </c>
      <c r="H15" t="n">
        <v>106.123574983804</v>
      </c>
      <c r="I15" t="n">
        <v>100.180060538879</v>
      </c>
      <c r="J15" t="n">
        <v>73.4665859059615</v>
      </c>
      <c r="K15" t="n">
        <v>68.4427170067724</v>
      </c>
      <c r="L15" t="n">
        <v>64.8533604985669</v>
      </c>
      <c r="M15" t="n">
        <v>66.396418990948</v>
      </c>
      <c r="N15" t="n">
        <v>73.9098876139265</v>
      </c>
      <c r="O15" t="n">
        <v>77.7779683158787</v>
      </c>
      <c r="P15" t="n">
        <v>74.7337352010838</v>
      </c>
      <c r="Q15" t="n">
        <v>75.808327991822</v>
      </c>
      <c r="R15" t="n">
        <v>64.9001221258801</v>
      </c>
      <c r="S15" t="n">
        <v>68.2575602001404</v>
      </c>
      <c r="T15" t="n">
        <v>83.3260740876724</v>
      </c>
      <c r="U15" t="n">
        <v>82.8089890861294</v>
      </c>
      <c r="V15" t="n">
        <v>75.4477445657999</v>
      </c>
      <c r="W15" t="n">
        <v>80.0513219338728</v>
      </c>
      <c r="X15" t="n">
        <v>81.595853320743</v>
      </c>
      <c r="Y15" t="n">
        <v>81.3129760680589</v>
      </c>
      <c r="Z15" t="n">
        <v>80.7257334767128</v>
      </c>
      <c r="AA15" t="n">
        <v>78.5745935529817</v>
      </c>
      <c r="AB15" t="n">
        <v>82.0255722915438</v>
      </c>
      <c r="AC15" t="n">
        <v>91.3710223523513</v>
      </c>
      <c r="AD15" t="n">
        <v>92.0211312723979</v>
      </c>
      <c r="AE15" t="n">
        <v>100</v>
      </c>
      <c r="AF15" t="n">
        <v>93.3020211304785</v>
      </c>
    </row>
    <row r="16">
      <c r="A16" t="s">
        <v>27</v>
      </c>
      <c r="B16" t="s">
        <v>189</v>
      </c>
      <c r="C16" t="s">
        <v>129</v>
      </c>
      <c r="D16" t="s">
        <v>190</v>
      </c>
      <c r="E16" t="s">
        <v>130</v>
      </c>
      <c r="F16" t="n">
        <v>28.9320776116078</v>
      </c>
      <c r="G16" t="n">
        <v>34.3507929398738</v>
      </c>
      <c r="H16" t="n">
        <v>41.7014567880724</v>
      </c>
      <c r="I16" t="n">
        <v>44.1303408926173</v>
      </c>
      <c r="J16" t="n">
        <v>47.5021526045899</v>
      </c>
      <c r="K16" t="n">
        <v>46.5283327522173</v>
      </c>
      <c r="L16" t="n">
        <v>44.0653350292622</v>
      </c>
      <c r="M16" t="n">
        <v>43.767295527789</v>
      </c>
      <c r="N16" t="n">
        <v>44.4651412069143</v>
      </c>
      <c r="O16" t="n">
        <v>44.7520943174241</v>
      </c>
      <c r="P16" t="n">
        <v>44.9580446599174</v>
      </c>
      <c r="Q16" t="n">
        <v>45.577863067668</v>
      </c>
      <c r="R16" t="n">
        <v>46.788159048573</v>
      </c>
      <c r="S16" t="n">
        <v>48.4288216016431</v>
      </c>
      <c r="T16" t="n">
        <v>61.9751705011258</v>
      </c>
      <c r="U16" t="n">
        <v>62.1166382384745</v>
      </c>
      <c r="V16" t="n">
        <v>66.6897196756448</v>
      </c>
      <c r="W16" t="n">
        <v>73.1012323163045</v>
      </c>
      <c r="X16" t="n">
        <v>77.9619869858087</v>
      </c>
      <c r="Y16" t="n">
        <v>84.4486376045163</v>
      </c>
      <c r="Z16" t="n">
        <v>86.5849265987796</v>
      </c>
      <c r="AA16" t="n">
        <v>88.0622551567216</v>
      </c>
      <c r="AB16" t="n">
        <v>85.9742935831782</v>
      </c>
      <c r="AC16" t="n">
        <v>88.8479965592039</v>
      </c>
      <c r="AD16" t="n">
        <v>90.895352650464</v>
      </c>
      <c r="AE16" t="n">
        <v>100</v>
      </c>
      <c r="AF16" t="n">
        <v>89.403558166502</v>
      </c>
    </row>
    <row r="17">
      <c r="A17" t="s">
        <v>27</v>
      </c>
      <c r="B17" t="s">
        <v>191</v>
      </c>
      <c r="C17" t="s">
        <v>129</v>
      </c>
      <c r="D17" t="s">
        <v>192</v>
      </c>
      <c r="E17" t="s">
        <v>130</v>
      </c>
      <c r="F17" t="n">
        <v>36.6041096616463</v>
      </c>
      <c r="G17" t="n">
        <v>45.1638493942823</v>
      </c>
      <c r="H17" t="n">
        <v>59.5477697901098</v>
      </c>
      <c r="I17" t="n">
        <v>62.0489402511775</v>
      </c>
      <c r="J17" t="n">
        <v>66.4571985291827</v>
      </c>
      <c r="K17" t="n">
        <v>65.2858475741656</v>
      </c>
      <c r="L17" t="n">
        <v>64.599627255534</v>
      </c>
      <c r="M17" t="n">
        <v>64.4005300456647</v>
      </c>
      <c r="N17" t="n">
        <v>65.406764314783</v>
      </c>
      <c r="O17" t="n">
        <v>65.2529618883075</v>
      </c>
      <c r="P17" t="n">
        <v>68.5564223386358</v>
      </c>
      <c r="Q17" t="n">
        <v>68.3200896950949</v>
      </c>
      <c r="R17" t="n">
        <v>65.6708054888099</v>
      </c>
      <c r="S17" t="n">
        <v>64.9545596383278</v>
      </c>
      <c r="T17" t="n">
        <v>73.8059767318995</v>
      </c>
      <c r="U17" t="n">
        <v>70.3331100311743</v>
      </c>
      <c r="V17" t="n">
        <v>70.4459085097764</v>
      </c>
      <c r="W17" t="n">
        <v>79.7560641269866</v>
      </c>
      <c r="X17" t="n">
        <v>84.2587261326051</v>
      </c>
      <c r="Y17" t="n">
        <v>88.2775204636691</v>
      </c>
      <c r="Z17" t="n">
        <v>92.5193184009974</v>
      </c>
      <c r="AA17" t="n">
        <v>91.8300767903778</v>
      </c>
      <c r="AB17" t="n">
        <v>91.1328774057861</v>
      </c>
      <c r="AC17" t="n">
        <v>91.5391757558789</v>
      </c>
      <c r="AD17" t="n">
        <v>91.8819268420395</v>
      </c>
      <c r="AE17" t="n">
        <v>100</v>
      </c>
      <c r="AF17" t="n">
        <v>95.9110697831692</v>
      </c>
    </row>
    <row r="18">
      <c r="A18" t="s">
        <v>27</v>
      </c>
      <c r="B18" t="s">
        <v>193</v>
      </c>
      <c r="C18" t="s">
        <v>129</v>
      </c>
      <c r="D18" t="s">
        <v>194</v>
      </c>
      <c r="E18" t="s">
        <v>130</v>
      </c>
      <c r="F18" t="n">
        <v>46.9120804668786</v>
      </c>
      <c r="G18" t="n">
        <v>50.7397311530647</v>
      </c>
      <c r="H18" t="n">
        <v>54.2990495651653</v>
      </c>
      <c r="I18" t="n">
        <v>58.3750499979998</v>
      </c>
      <c r="J18" t="n">
        <v>67.5855972013132</v>
      </c>
      <c r="K18" t="n">
        <v>67.7229102427554</v>
      </c>
      <c r="L18" t="n">
        <v>67.2044845996773</v>
      </c>
      <c r="M18" t="n">
        <v>65.6853834934768</v>
      </c>
      <c r="N18" t="n">
        <v>65.967747224423</v>
      </c>
      <c r="O18" t="n">
        <v>68.2371322404688</v>
      </c>
      <c r="P18" t="n">
        <v>71.5683560649355</v>
      </c>
      <c r="Q18" t="n">
        <v>78.6920600495461</v>
      </c>
      <c r="R18" t="n">
        <v>73.7585425658889</v>
      </c>
      <c r="S18" t="n">
        <v>80.0094667773344</v>
      </c>
      <c r="T18" t="n">
        <v>86.221492570215</v>
      </c>
      <c r="U18" t="n">
        <v>87.5678578647522</v>
      </c>
      <c r="V18" t="n">
        <v>85.3374803445559</v>
      </c>
      <c r="W18" t="n">
        <v>75.6905628727576</v>
      </c>
      <c r="X18" t="n">
        <v>83.5101634724638</v>
      </c>
      <c r="Y18" t="n">
        <v>85.7899880928324</v>
      </c>
      <c r="Z18" t="n">
        <v>85.3734930739056</v>
      </c>
      <c r="AA18" t="n">
        <v>85.9647858833283</v>
      </c>
      <c r="AB18" t="n">
        <v>85.4120775623075</v>
      </c>
      <c r="AC18" t="n">
        <v>92.2264465056015</v>
      </c>
      <c r="AD18" t="n">
        <v>89.7302398495062</v>
      </c>
      <c r="AE18" t="n">
        <v>100</v>
      </c>
      <c r="AF18" t="n">
        <v>96.6049225373294</v>
      </c>
    </row>
    <row r="19">
      <c r="A19" t="s">
        <v>27</v>
      </c>
      <c r="B19" t="s">
        <v>195</v>
      </c>
      <c r="C19" t="s">
        <v>129</v>
      </c>
      <c r="D19" t="s">
        <v>196</v>
      </c>
      <c r="E19" t="s">
        <v>130</v>
      </c>
      <c r="F19" t="n">
        <v>29.6870415332261</v>
      </c>
      <c r="G19" t="n">
        <v>36.3467582543951</v>
      </c>
      <c r="H19" t="n">
        <v>42.1551282039086</v>
      </c>
      <c r="I19" t="n">
        <v>45.4101087764875</v>
      </c>
      <c r="J19" t="n">
        <v>50.900624356779</v>
      </c>
      <c r="K19" t="n">
        <v>50.7747135132029</v>
      </c>
      <c r="L19" t="n">
        <v>52.9778602458294</v>
      </c>
      <c r="M19" t="n">
        <v>53.9221590381517</v>
      </c>
      <c r="N19" t="n">
        <v>56.9435495342563</v>
      </c>
      <c r="O19" t="n">
        <v>60.0286067038896</v>
      </c>
      <c r="P19" t="n">
        <v>60.1724476979739</v>
      </c>
      <c r="Q19" t="n">
        <v>60.4249190667624</v>
      </c>
      <c r="R19" t="n">
        <v>60.2837199431699</v>
      </c>
      <c r="S19" t="n">
        <v>60.3946683974139</v>
      </c>
      <c r="T19" t="n">
        <v>64.9876163831132</v>
      </c>
      <c r="U19" t="n">
        <v>65.3956432340357</v>
      </c>
      <c r="V19" t="n">
        <v>67.9230171190828</v>
      </c>
      <c r="W19" t="n">
        <v>66.3096618131458</v>
      </c>
      <c r="X19" t="n">
        <v>69.7638026829658</v>
      </c>
      <c r="Y19" t="n">
        <v>73.8095411161453</v>
      </c>
      <c r="Z19" t="n">
        <v>77.428126596888</v>
      </c>
      <c r="AA19" t="n">
        <v>82.474179280504</v>
      </c>
      <c r="AB19" t="n">
        <v>88.1703405686435</v>
      </c>
      <c r="AC19" t="n">
        <v>89.0105244896557</v>
      </c>
      <c r="AD19" t="n">
        <v>92.8872454207923</v>
      </c>
      <c r="AE19" t="n">
        <v>100</v>
      </c>
      <c r="AF19" t="n">
        <v>99.1109722712689</v>
      </c>
    </row>
    <row r="20">
      <c r="A20" t="s">
        <v>27</v>
      </c>
      <c r="B20" t="s">
        <v>197</v>
      </c>
      <c r="C20" t="s">
        <v>129</v>
      </c>
      <c r="D20" t="s">
        <v>198</v>
      </c>
      <c r="E20" t="s">
        <v>130</v>
      </c>
      <c r="F20" t="n">
        <v>12.4388154855696</v>
      </c>
      <c r="G20" t="n">
        <v>15.0651581606149</v>
      </c>
      <c r="H20" t="n">
        <v>21.3246839971286</v>
      </c>
      <c r="I20" t="n">
        <v>26.3109911475303</v>
      </c>
      <c r="J20" t="n">
        <v>29.8793792355767</v>
      </c>
      <c r="K20" t="n">
        <v>31.0673294659923</v>
      </c>
      <c r="L20" t="n">
        <v>33.7846525262355</v>
      </c>
      <c r="M20" t="n">
        <v>38.2509631588106</v>
      </c>
      <c r="N20" t="n">
        <v>48.064098226394</v>
      </c>
      <c r="O20" t="n">
        <v>55.1356233093131</v>
      </c>
      <c r="P20" t="n">
        <v>64.4677665450375</v>
      </c>
      <c r="Q20" t="n">
        <v>56.5726353714549</v>
      </c>
      <c r="R20" t="n">
        <v>73.8706104358214</v>
      </c>
      <c r="S20" t="n">
        <v>86.952559898616</v>
      </c>
      <c r="T20" t="n">
        <v>98.9736419482991</v>
      </c>
      <c r="U20" t="n">
        <v>97.8945612958205</v>
      </c>
      <c r="V20" t="n">
        <v>92.1494662499138</v>
      </c>
      <c r="W20" t="n">
        <v>101.099383874057</v>
      </c>
      <c r="X20" t="n">
        <v>95.3721453587952</v>
      </c>
      <c r="Y20" t="n">
        <v>95.3417225727318</v>
      </c>
      <c r="Z20" t="n">
        <v>96.113660965398</v>
      </c>
      <c r="AA20" t="n">
        <v>95.8958690545124</v>
      </c>
      <c r="AB20" t="n">
        <v>89.8712807581322</v>
      </c>
      <c r="AC20" t="n">
        <v>93.455265115802</v>
      </c>
      <c r="AD20" t="n">
        <v>99.2275653273849</v>
      </c>
      <c r="AE20" t="n">
        <v>100</v>
      </c>
      <c r="AF20" t="n">
        <v>114.881233049416</v>
      </c>
    </row>
    <row r="21">
      <c r="A21" t="s">
        <v>27</v>
      </c>
      <c r="B21" t="s">
        <v>199</v>
      </c>
      <c r="C21" t="s">
        <v>129</v>
      </c>
      <c r="D21" t="s">
        <v>200</v>
      </c>
      <c r="E21" t="s">
        <v>130</v>
      </c>
      <c r="F21" t="n">
        <v>13.5910496476858</v>
      </c>
      <c r="G21" t="n">
        <v>16.8188845461126</v>
      </c>
      <c r="H21" t="n">
        <v>23.2360600347513</v>
      </c>
      <c r="I21" t="n">
        <v>28.4286395953461</v>
      </c>
      <c r="J21" t="n">
        <v>31.9514810698237</v>
      </c>
      <c r="K21" t="n">
        <v>33.7334383014526</v>
      </c>
      <c r="L21" t="n">
        <v>37.1183362531796</v>
      </c>
      <c r="M21" t="n">
        <v>41.7951866614596</v>
      </c>
      <c r="N21" t="n">
        <v>50.304537890032</v>
      </c>
      <c r="O21" t="n">
        <v>56.6400493599122</v>
      </c>
      <c r="P21" t="n">
        <v>64.3627717407946</v>
      </c>
      <c r="Q21" t="n">
        <v>60.2373828910044</v>
      </c>
      <c r="R21" t="n">
        <v>73.6185226970811</v>
      </c>
      <c r="S21" t="n">
        <v>85.1274135470165</v>
      </c>
      <c r="T21" t="n">
        <v>93.8492042131522</v>
      </c>
      <c r="U21" t="n">
        <v>94.2300554360166</v>
      </c>
      <c r="V21" t="n">
        <v>92.286181691988</v>
      </c>
      <c r="W21" t="n">
        <v>99.946894464397</v>
      </c>
      <c r="X21" t="n">
        <v>96.1800511275434</v>
      </c>
      <c r="Y21" t="n">
        <v>95.8074654618827</v>
      </c>
      <c r="Z21" t="n">
        <v>96.2417739672307</v>
      </c>
      <c r="AA21" t="n">
        <v>95.9378148263101</v>
      </c>
      <c r="AB21" t="n">
        <v>92.3873691801166</v>
      </c>
      <c r="AC21" t="n">
        <v>95.0751155868052</v>
      </c>
      <c r="AD21" t="n">
        <v>98.8116866634288</v>
      </c>
      <c r="AE21" t="n">
        <v>100</v>
      </c>
      <c r="AF21" t="n">
        <v>121.500917184706</v>
      </c>
    </row>
    <row r="22">
      <c r="A22" t="s">
        <v>27</v>
      </c>
      <c r="B22" t="s">
        <v>201</v>
      </c>
      <c r="C22" t="s">
        <v>129</v>
      </c>
      <c r="D22" t="s">
        <v>202</v>
      </c>
      <c r="E22" t="s">
        <v>130</v>
      </c>
      <c r="F22" t="n">
        <v>17.2907881034557</v>
      </c>
      <c r="G22" t="n">
        <v>22.7875412078187</v>
      </c>
      <c r="H22" t="n">
        <v>29.0981236538954</v>
      </c>
      <c r="I22" t="n">
        <v>34.6381218680828</v>
      </c>
      <c r="J22" t="n">
        <v>37.6557401753407</v>
      </c>
      <c r="K22" t="n">
        <v>41.6599300287799</v>
      </c>
      <c r="L22" t="n">
        <v>47.3382420584371</v>
      </c>
      <c r="M22" t="n">
        <v>52.5684528285313</v>
      </c>
      <c r="N22" t="n">
        <v>57.2400564255376</v>
      </c>
      <c r="O22" t="n">
        <v>61.5423400928137</v>
      </c>
      <c r="P22" t="n">
        <v>65.8501953344105</v>
      </c>
      <c r="Q22" t="n">
        <v>70.2074117737374</v>
      </c>
      <c r="R22" t="n">
        <v>74.0487633640333</v>
      </c>
      <c r="S22" t="n">
        <v>82.2992541419469</v>
      </c>
      <c r="T22" t="n">
        <v>83.8717754453466</v>
      </c>
      <c r="U22" t="n">
        <v>87.1978112243289</v>
      </c>
      <c r="V22" t="n">
        <v>92.7538655777814</v>
      </c>
      <c r="W22" t="n">
        <v>97.69674598848</v>
      </c>
      <c r="X22" t="n">
        <v>98.027928672821</v>
      </c>
      <c r="Y22" t="n">
        <v>96.87939257708</v>
      </c>
      <c r="Z22" t="n">
        <v>96.5851272135199</v>
      </c>
      <c r="AA22" t="n">
        <v>96.0833796942451</v>
      </c>
      <c r="AB22" t="n">
        <v>97.4801066285248</v>
      </c>
      <c r="AC22" t="n">
        <v>98.4127740356294</v>
      </c>
      <c r="AD22" t="n">
        <v>97.949152750642</v>
      </c>
      <c r="AE22" t="n">
        <v>100</v>
      </c>
      <c r="AF22" t="n">
        <v>136.415144094933</v>
      </c>
    </row>
    <row r="23">
      <c r="A23" t="s">
        <v>27</v>
      </c>
      <c r="B23" t="s">
        <v>203</v>
      </c>
      <c r="C23" t="s">
        <v>129</v>
      </c>
      <c r="D23" t="s">
        <v>204</v>
      </c>
      <c r="E23" t="s">
        <v>130</v>
      </c>
      <c r="F23" t="n">
        <v>18.3829581918911</v>
      </c>
      <c r="G23" t="n">
        <v>22.3685053577567</v>
      </c>
      <c r="H23" t="n">
        <v>27.7852201436498</v>
      </c>
      <c r="I23" t="n">
        <v>29.7574982119904</v>
      </c>
      <c r="J23" t="n">
        <v>31.9508238356462</v>
      </c>
      <c r="K23" t="n">
        <v>33.6204058802781</v>
      </c>
      <c r="L23" t="n">
        <v>39.0820394392081</v>
      </c>
      <c r="M23" t="n">
        <v>41.8948366910945</v>
      </c>
      <c r="N23" t="n">
        <v>42.9165776309805</v>
      </c>
      <c r="O23" t="n">
        <v>45.6951276659102</v>
      </c>
      <c r="P23" t="n">
        <v>47.7371214954276</v>
      </c>
      <c r="Q23" t="n">
        <v>50.0412598430671</v>
      </c>
      <c r="R23" t="n">
        <v>52.9466837160745</v>
      </c>
      <c r="S23" t="n">
        <v>61.6928589189936</v>
      </c>
      <c r="T23" t="n">
        <v>61.3421635045566</v>
      </c>
      <c r="U23" t="n">
        <v>60.7110849982232</v>
      </c>
      <c r="V23" t="n">
        <v>60.1812586801713</v>
      </c>
      <c r="W23" t="n">
        <v>60.6156358919419</v>
      </c>
      <c r="X23" t="n">
        <v>62.8484632071547</v>
      </c>
      <c r="Y23" t="n">
        <v>64.8511777845314</v>
      </c>
      <c r="Z23" t="n">
        <v>65.1937007790878</v>
      </c>
      <c r="AA23" t="n">
        <v>67.8346750854467</v>
      </c>
      <c r="AB23" t="n">
        <v>72.2213279892874</v>
      </c>
      <c r="AC23" t="n">
        <v>82.4227931254201</v>
      </c>
      <c r="AD23" t="n">
        <v>90.5250934365127</v>
      </c>
      <c r="AE23" t="n">
        <v>100</v>
      </c>
      <c r="AF23" t="n">
        <v>111.578998225888</v>
      </c>
    </row>
    <row r="24">
      <c r="A24" t="s">
        <v>27</v>
      </c>
      <c r="B24" t="s">
        <v>205</v>
      </c>
      <c r="C24" t="s">
        <v>129</v>
      </c>
      <c r="D24" t="s">
        <v>206</v>
      </c>
      <c r="E24" t="s">
        <v>130</v>
      </c>
      <c r="F24" t="n">
        <v>21.3522221127127</v>
      </c>
      <c r="G24" t="n">
        <v>27.7215114142481</v>
      </c>
      <c r="H24" t="n">
        <v>34.6561355998458</v>
      </c>
      <c r="I24" t="n">
        <v>41.4029428941544</v>
      </c>
      <c r="J24" t="n">
        <v>42.6563181054672</v>
      </c>
      <c r="K24" t="n">
        <v>46.1160858963051</v>
      </c>
      <c r="L24" t="n">
        <v>56.1588986493441</v>
      </c>
      <c r="M24" t="n">
        <v>58.2898739687202</v>
      </c>
      <c r="N24" t="n">
        <v>56.0121911850585</v>
      </c>
      <c r="O24" t="n">
        <v>60.1899974382643</v>
      </c>
      <c r="P24" t="n">
        <v>59.7751932556644</v>
      </c>
      <c r="Q24" t="n">
        <v>61.3675188137781</v>
      </c>
      <c r="R24" t="n">
        <v>66.9856144425239</v>
      </c>
      <c r="S24" t="n">
        <v>73.4640995095947</v>
      </c>
      <c r="T24" t="n">
        <v>77.7104634015102</v>
      </c>
      <c r="U24" t="n">
        <v>80.6277461945613</v>
      </c>
      <c r="V24" t="n">
        <v>83.986970047961</v>
      </c>
      <c r="W24" t="n">
        <v>83.5948470819225</v>
      </c>
      <c r="X24" t="n">
        <v>86.1446318494558</v>
      </c>
      <c r="Y24" t="n">
        <v>88.7492653841972</v>
      </c>
      <c r="Z24" t="n">
        <v>89.8248664877128</v>
      </c>
      <c r="AA24" t="n">
        <v>89.873562575526</v>
      </c>
      <c r="AB24" t="n">
        <v>92.1540837588709</v>
      </c>
      <c r="AC24" t="n">
        <v>93.9440887110555</v>
      </c>
      <c r="AD24" t="n">
        <v>95.6186022371534</v>
      </c>
      <c r="AE24" t="n">
        <v>100</v>
      </c>
      <c r="AF24" t="n">
        <v>105.879001813422</v>
      </c>
    </row>
    <row r="25">
      <c r="A25" t="s">
        <v>27</v>
      </c>
      <c r="B25" t="s">
        <v>207</v>
      </c>
      <c r="C25" t="s">
        <v>129</v>
      </c>
      <c r="D25" t="s">
        <v>208</v>
      </c>
      <c r="E25" t="s">
        <v>130</v>
      </c>
      <c r="F25" t="n">
        <v>44.9400699068077</v>
      </c>
      <c r="G25" t="n">
        <v>56.9915198202502</v>
      </c>
      <c r="H25" t="n">
        <v>67.5076127532444</v>
      </c>
      <c r="I25" t="n">
        <v>78.5933392798519</v>
      </c>
      <c r="J25" t="n">
        <v>80.703554898604</v>
      </c>
      <c r="K25" t="n">
        <v>89.4707706081339</v>
      </c>
      <c r="L25" t="n">
        <v>112.046368858145</v>
      </c>
      <c r="M25" t="n">
        <v>106.880823896678</v>
      </c>
      <c r="N25" t="n">
        <v>100.93257469606</v>
      </c>
      <c r="O25" t="n">
        <v>105.555384178514</v>
      </c>
      <c r="P25" t="n">
        <v>100.15740958401</v>
      </c>
      <c r="Q25" t="n">
        <v>101.929305233607</v>
      </c>
      <c r="R25" t="n">
        <v>110.652278867882</v>
      </c>
      <c r="S25" t="n">
        <v>115.155510990477</v>
      </c>
      <c r="T25" t="n">
        <v>112.123578812459</v>
      </c>
      <c r="U25" t="n">
        <v>106.457085631704</v>
      </c>
      <c r="V25" t="n">
        <v>102.38932810827</v>
      </c>
      <c r="W25" t="n">
        <v>92.6703883071305</v>
      </c>
      <c r="X25" t="n">
        <v>91.2607730796484</v>
      </c>
      <c r="Y25" t="n">
        <v>94.6712458680641</v>
      </c>
      <c r="Z25" t="n">
        <v>98.0019605017002</v>
      </c>
      <c r="AA25" t="n">
        <v>99.1249597234003</v>
      </c>
      <c r="AB25" t="n">
        <v>99.7236617524781</v>
      </c>
      <c r="AC25" t="n">
        <v>98.6018221712769</v>
      </c>
      <c r="AD25" t="n">
        <v>98.5093183355105</v>
      </c>
      <c r="AE25" t="n">
        <v>100</v>
      </c>
      <c r="AF25" t="n">
        <v>103.532001105074</v>
      </c>
    </row>
    <row r="26">
      <c r="A26" t="s">
        <v>27</v>
      </c>
      <c r="B26" t="s">
        <v>209</v>
      </c>
      <c r="C26" t="s">
        <v>129</v>
      </c>
      <c r="D26" t="s">
        <v>210</v>
      </c>
      <c r="E26" t="s">
        <v>130</v>
      </c>
      <c r="F26" t="n">
        <v>17.1413416912714</v>
      </c>
      <c r="G26" t="n">
        <v>21.6257990074518</v>
      </c>
      <c r="H26" t="n">
        <v>28.1721563150707</v>
      </c>
      <c r="I26" t="n">
        <v>32.7774860826539</v>
      </c>
      <c r="J26" t="n">
        <v>33.5182424027641</v>
      </c>
      <c r="K26" t="n">
        <v>36.9711591406484</v>
      </c>
      <c r="L26" t="n">
        <v>44.2210621119802</v>
      </c>
      <c r="M26" t="n">
        <v>46.8260069375975</v>
      </c>
      <c r="N26" t="n">
        <v>46.0852298010819</v>
      </c>
      <c r="O26" t="n">
        <v>48.9704359342403</v>
      </c>
      <c r="P26" t="n">
        <v>49.3545231084454</v>
      </c>
      <c r="Q26" t="n">
        <v>51.3232389646175</v>
      </c>
      <c r="R26" t="n">
        <v>56.374382923506</v>
      </c>
      <c r="S26" t="n">
        <v>64.3739176724705</v>
      </c>
      <c r="T26" t="n">
        <v>73.2439395371969</v>
      </c>
      <c r="U26" t="n">
        <v>79.2786909623632</v>
      </c>
      <c r="V26" t="n">
        <v>84.0729154841484</v>
      </c>
      <c r="W26" t="n">
        <v>85.6551992980839</v>
      </c>
      <c r="X26" t="n">
        <v>87.3860148126051</v>
      </c>
      <c r="Y26" t="n">
        <v>86.8730226712739</v>
      </c>
      <c r="Z26" t="n">
        <v>88.0935351123411</v>
      </c>
      <c r="AA26" t="n">
        <v>87.2445981542534</v>
      </c>
      <c r="AB26" t="n">
        <v>90.1575432103154</v>
      </c>
      <c r="AC26" t="n">
        <v>92.3315055284259</v>
      </c>
      <c r="AD26" t="n">
        <v>93.5595807625693</v>
      </c>
      <c r="AE26" t="n">
        <v>100</v>
      </c>
      <c r="AF26" t="n">
        <v>109.520941709852</v>
      </c>
    </row>
    <row r="27">
      <c r="A27" t="s">
        <v>27</v>
      </c>
      <c r="B27" t="s">
        <v>211</v>
      </c>
      <c r="C27" t="s">
        <v>129</v>
      </c>
      <c r="D27" t="s">
        <v>212</v>
      </c>
      <c r="E27" t="s">
        <v>130</v>
      </c>
      <c r="F27" t="n">
        <v>23.2566590557752</v>
      </c>
      <c r="G27" t="n">
        <v>31.2138657175981</v>
      </c>
      <c r="H27" t="n">
        <v>37.8512087917976</v>
      </c>
      <c r="I27" t="n">
        <v>47.0276389875277</v>
      </c>
      <c r="J27" t="n">
        <v>48.9105022629841</v>
      </c>
      <c r="K27" t="n">
        <v>51.2189972689925</v>
      </c>
      <c r="L27" t="n">
        <v>63.1534213224762</v>
      </c>
      <c r="M27" t="n">
        <v>65.8629546974998</v>
      </c>
      <c r="N27" t="n">
        <v>61.8408140670009</v>
      </c>
      <c r="O27" t="n">
        <v>67.9664983711241</v>
      </c>
      <c r="P27" t="n">
        <v>67.0969979784981</v>
      </c>
      <c r="Q27" t="n">
        <v>67.8680180427819</v>
      </c>
      <c r="R27" t="n">
        <v>73.5736037179344</v>
      </c>
      <c r="S27" t="n">
        <v>77.6652924645424</v>
      </c>
      <c r="T27" t="n">
        <v>76.5566264477911</v>
      </c>
      <c r="U27" t="n">
        <v>76.4406347495534</v>
      </c>
      <c r="V27" t="n">
        <v>79.4159842998454</v>
      </c>
      <c r="W27" t="n">
        <v>78.6288819535044</v>
      </c>
      <c r="X27" t="n">
        <v>83.0782884346495</v>
      </c>
      <c r="Y27" t="n">
        <v>89.2861064131496</v>
      </c>
      <c r="Z27" t="n">
        <v>89.6420421161648</v>
      </c>
      <c r="AA27" t="n">
        <v>90.5272884955966</v>
      </c>
      <c r="AB27" t="n">
        <v>92.5025142794695</v>
      </c>
      <c r="AC27" t="n">
        <v>94.6594206795311</v>
      </c>
      <c r="AD27" t="n">
        <v>97.2895060006195</v>
      </c>
      <c r="AE27" t="n">
        <v>100</v>
      </c>
      <c r="AF27" t="n">
        <v>102.144057234281</v>
      </c>
    </row>
    <row r="28">
      <c r="A28" t="s">
        <v>27</v>
      </c>
      <c r="B28" t="s">
        <v>213</v>
      </c>
      <c r="C28" t="s">
        <v>129</v>
      </c>
      <c r="D28" t="s">
        <v>214</v>
      </c>
      <c r="E28" t="s">
        <v>130</v>
      </c>
      <c r="F28" t="n">
        <v>20.9839998809267</v>
      </c>
      <c r="G28" t="n">
        <v>25.2020637005512</v>
      </c>
      <c r="H28" t="n">
        <v>30.4883013832567</v>
      </c>
      <c r="I28" t="n">
        <v>35.1948308522643</v>
      </c>
      <c r="J28" t="n">
        <v>37.8008276283914</v>
      </c>
      <c r="K28" t="n">
        <v>39.76656001654</v>
      </c>
      <c r="L28" t="n">
        <v>43.5515075427403</v>
      </c>
      <c r="M28" t="n">
        <v>46.4336234515117</v>
      </c>
      <c r="N28" t="n">
        <v>48.0935810573582</v>
      </c>
      <c r="O28" t="n">
        <v>51.0014310861817</v>
      </c>
      <c r="P28" t="n">
        <v>52.3315162994357</v>
      </c>
      <c r="Q28" t="n">
        <v>56.3563829926553</v>
      </c>
      <c r="R28" t="n">
        <v>60.6412134504728</v>
      </c>
      <c r="S28" t="n">
        <v>64.3278936353627</v>
      </c>
      <c r="T28" t="n">
        <v>68.6231952894959</v>
      </c>
      <c r="U28" t="n">
        <v>70.7401547856285</v>
      </c>
      <c r="V28" t="n">
        <v>75.9911554140034</v>
      </c>
      <c r="W28" t="n">
        <v>76.1311347747969</v>
      </c>
      <c r="X28" t="n">
        <v>81.6736246175842</v>
      </c>
      <c r="Y28" t="n">
        <v>85.9904704262181</v>
      </c>
      <c r="Z28" t="n">
        <v>89.4992114508163</v>
      </c>
      <c r="AA28" t="n">
        <v>90.5212627731843</v>
      </c>
      <c r="AB28" t="n">
        <v>89.772332632952</v>
      </c>
      <c r="AC28" t="n">
        <v>91.1111309469098</v>
      </c>
      <c r="AD28" t="n">
        <v>94.3621684278401</v>
      </c>
      <c r="AE28" t="n">
        <v>100</v>
      </c>
      <c r="AF28" t="n">
        <v>99.0017863826875</v>
      </c>
    </row>
    <row r="29">
      <c r="A29" t="s">
        <v>27</v>
      </c>
      <c r="B29" t="s">
        <v>215</v>
      </c>
      <c r="C29" t="s">
        <v>129</v>
      </c>
      <c r="D29" t="s">
        <v>216</v>
      </c>
      <c r="E29" t="s">
        <v>130</v>
      </c>
      <c r="F29" t="n">
        <v>18.9271274655659</v>
      </c>
      <c r="G29" t="n">
        <v>21.8427061252125</v>
      </c>
      <c r="H29" t="n">
        <v>26.1867531903203</v>
      </c>
      <c r="I29" t="n">
        <v>30.1688803150971</v>
      </c>
      <c r="J29" t="n">
        <v>31.3228583021818</v>
      </c>
      <c r="K29" t="n">
        <v>32.1772228178391</v>
      </c>
      <c r="L29" t="n">
        <v>36.2933835405021</v>
      </c>
      <c r="M29" t="n">
        <v>39.18271892881</v>
      </c>
      <c r="N29" t="n">
        <v>40.6168295319088</v>
      </c>
      <c r="O29" t="n">
        <v>44.377795931349</v>
      </c>
      <c r="P29" t="n">
        <v>46.0632843292222</v>
      </c>
      <c r="Q29" t="n">
        <v>57.7312619666165</v>
      </c>
      <c r="R29" t="n">
        <v>64.398998976095</v>
      </c>
      <c r="S29" t="n">
        <v>69.0535627907423</v>
      </c>
      <c r="T29" t="n">
        <v>74.871522390645</v>
      </c>
      <c r="U29" t="n">
        <v>72.4336741204649</v>
      </c>
      <c r="V29" t="n">
        <v>72.2326558751114</v>
      </c>
      <c r="W29" t="n">
        <v>73.3536652834294</v>
      </c>
      <c r="X29" t="n">
        <v>78.5028033524577</v>
      </c>
      <c r="Y29" t="n">
        <v>82.8195354619166</v>
      </c>
      <c r="Z29" t="n">
        <v>85.9519358234939</v>
      </c>
      <c r="AA29" t="n">
        <v>87.1829331621869</v>
      </c>
      <c r="AB29" t="n">
        <v>86.1855088211029</v>
      </c>
      <c r="AC29" t="n">
        <v>88.1860951734622</v>
      </c>
      <c r="AD29" t="n">
        <v>92.4589919111507</v>
      </c>
      <c r="AE29" t="n">
        <v>100</v>
      </c>
      <c r="AF29" t="n">
        <v>100.882210730456</v>
      </c>
    </row>
    <row r="30">
      <c r="A30" t="s">
        <v>27</v>
      </c>
      <c r="B30" t="s">
        <v>217</v>
      </c>
      <c r="C30" t="s">
        <v>129</v>
      </c>
      <c r="D30" t="s">
        <v>218</v>
      </c>
      <c r="E30" t="s">
        <v>130</v>
      </c>
      <c r="F30" t="n">
        <v>2.68654987471123</v>
      </c>
      <c r="G30" t="n">
        <v>8.87439723645854</v>
      </c>
      <c r="H30" t="n">
        <v>10.2866210274527</v>
      </c>
      <c r="I30" t="n">
        <v>16.7329035379897</v>
      </c>
      <c r="J30" t="n">
        <v>24.7785967727099</v>
      </c>
      <c r="K30" t="n">
        <v>27.2401144240797</v>
      </c>
      <c r="L30" t="n">
        <v>28.5101102440416</v>
      </c>
      <c r="M30" t="n">
        <v>35.2398797678517</v>
      </c>
      <c r="N30" t="n">
        <v>33.2356709724294</v>
      </c>
      <c r="O30" t="n">
        <v>32.9070537006257</v>
      </c>
      <c r="P30" t="n">
        <v>33.5883591602659</v>
      </c>
      <c r="Q30" t="n">
        <v>33.1439292005315</v>
      </c>
      <c r="R30" t="n">
        <v>42.6673115112271</v>
      </c>
      <c r="S30" t="n">
        <v>49.0351659370211</v>
      </c>
      <c r="T30" t="n">
        <v>41.4468699210208</v>
      </c>
      <c r="U30" t="n">
        <v>43.2046612792784</v>
      </c>
      <c r="V30" t="n">
        <v>38.4324482999241</v>
      </c>
      <c r="W30" t="n">
        <v>26.2129468137486</v>
      </c>
      <c r="X30" t="n">
        <v>42.646913469116</v>
      </c>
      <c r="Y30" t="n">
        <v>51.3869794869086</v>
      </c>
      <c r="Z30" t="n">
        <v>55.1407264420642</v>
      </c>
      <c r="AA30" t="n">
        <v>55.9300063368421</v>
      </c>
      <c r="AB30" t="n">
        <v>53.8432417665172</v>
      </c>
      <c r="AC30" t="n">
        <v>49.3458944263905</v>
      </c>
      <c r="AD30" t="n">
        <v>68.3669434559114</v>
      </c>
      <c r="AE30" t="n">
        <v>100</v>
      </c>
      <c r="AF30" t="n">
        <v>86.6378422894791</v>
      </c>
    </row>
    <row r="31">
      <c r="A31" t="s">
        <v>27</v>
      </c>
      <c r="B31" t="s">
        <v>219</v>
      </c>
      <c r="C31" t="s">
        <v>129</v>
      </c>
      <c r="D31" t="s">
        <v>220</v>
      </c>
      <c r="E31" t="s">
        <v>130</v>
      </c>
      <c r="F31" t="n">
        <v>19.3694230182947</v>
      </c>
      <c r="G31" t="n">
        <v>22.150469539165</v>
      </c>
      <c r="H31" t="n">
        <v>23.3870442726375</v>
      </c>
      <c r="I31" t="n">
        <v>40.1668011698389</v>
      </c>
      <c r="J31" t="n">
        <v>41.7064123022091</v>
      </c>
      <c r="K31" t="n">
        <v>49.3616041011425</v>
      </c>
      <c r="L31" t="n">
        <v>48.1140488163621</v>
      </c>
      <c r="M31" t="n">
        <v>79.5070312638352</v>
      </c>
      <c r="N31" t="n">
        <v>84.3192267585363</v>
      </c>
      <c r="O31" t="n">
        <v>80.5260766303485</v>
      </c>
      <c r="P31" t="n">
        <v>54.4448052175084</v>
      </c>
      <c r="Q31" t="n">
        <v>38.7290751626392</v>
      </c>
      <c r="R31" t="n">
        <v>32.924897457762</v>
      </c>
      <c r="S31" t="n">
        <v>37.4505935373319</v>
      </c>
      <c r="T31" t="n">
        <v>34.430732970369</v>
      </c>
      <c r="U31" t="n">
        <v>33.2150572168479</v>
      </c>
      <c r="V31" t="n">
        <v>51.0884389269104</v>
      </c>
      <c r="W31" t="n">
        <v>60.2646816919079</v>
      </c>
      <c r="X31" t="n">
        <v>105.108496123527</v>
      </c>
      <c r="Y31" t="n">
        <v>136.132800407216</v>
      </c>
      <c r="Z31" t="n">
        <v>151.625319369885</v>
      </c>
      <c r="AA31" t="n">
        <v>146.210129392389</v>
      </c>
      <c r="AB31" t="n">
        <v>139.890530767102</v>
      </c>
      <c r="AC31" t="n">
        <v>136.450825753827</v>
      </c>
      <c r="AD31" t="n">
        <v>132.808820902551</v>
      </c>
      <c r="AE31" t="n">
        <v>100</v>
      </c>
      <c r="AF31" t="n">
        <v>-64.9779776965608</v>
      </c>
    </row>
    <row r="32">
      <c r="A32" t="s">
        <v>27</v>
      </c>
      <c r="B32" t="s">
        <v>221</v>
      </c>
      <c r="C32" t="s">
        <v>129</v>
      </c>
      <c r="D32" t="s">
        <v>222</v>
      </c>
      <c r="E32" t="s">
        <v>130</v>
      </c>
      <c r="F32" t="n">
        <v>20.6000483734698</v>
      </c>
      <c r="G32" t="n">
        <v>25.9975282097265</v>
      </c>
      <c r="H32" t="n">
        <v>34.227375528289</v>
      </c>
      <c r="I32" t="n">
        <v>37.9258776048991</v>
      </c>
      <c r="J32" t="n">
        <v>45.6953455497739</v>
      </c>
      <c r="K32" t="n">
        <v>53.6655776340217</v>
      </c>
      <c r="L32" t="n">
        <v>55.5363152921357</v>
      </c>
      <c r="M32" t="n">
        <v>56.4435026352071</v>
      </c>
      <c r="N32" t="n">
        <v>60.0074178678534</v>
      </c>
      <c r="O32" t="n">
        <v>60.8263630103318</v>
      </c>
      <c r="P32" t="n">
        <v>64.211017479429</v>
      </c>
      <c r="Q32" t="n">
        <v>54.1541698913641</v>
      </c>
      <c r="R32" t="n">
        <v>56.5239733466511</v>
      </c>
      <c r="S32" t="n">
        <v>60.573033635909</v>
      </c>
      <c r="T32" t="n">
        <v>64.7756856414194</v>
      </c>
      <c r="U32" t="n">
        <v>73.1733762705034</v>
      </c>
      <c r="V32" t="n">
        <v>85.5747457061565</v>
      </c>
      <c r="W32" t="n">
        <v>82.9526131140058</v>
      </c>
      <c r="X32" t="n">
        <v>84.8884437643161</v>
      </c>
      <c r="Y32" t="n">
        <v>86.854197511086</v>
      </c>
      <c r="Z32" t="n">
        <v>89.5607307491322</v>
      </c>
      <c r="AA32" t="n">
        <v>91.3482330991993</v>
      </c>
      <c r="AB32" t="n">
        <v>90.9835001597406</v>
      </c>
      <c r="AC32" t="n">
        <v>92.2219676078368</v>
      </c>
      <c r="AD32" t="n">
        <v>95.3024670068269</v>
      </c>
      <c r="AE32" t="n">
        <v>100</v>
      </c>
      <c r="AF32" t="n">
        <v>104.881338759602</v>
      </c>
    </row>
    <row r="33">
      <c r="A33" t="s">
        <v>27</v>
      </c>
      <c r="B33" t="s">
        <v>223</v>
      </c>
      <c r="C33" t="s">
        <v>129</v>
      </c>
      <c r="D33" t="s">
        <v>224</v>
      </c>
      <c r="E33" t="s">
        <v>130</v>
      </c>
      <c r="F33" t="n">
        <v>35.6531702600889</v>
      </c>
      <c r="G33" t="n">
        <v>43.7929050144881</v>
      </c>
      <c r="H33" t="n">
        <v>52.7715151997924</v>
      </c>
      <c r="I33" t="n">
        <v>58.8164343616651</v>
      </c>
      <c r="J33" t="n">
        <v>67.0006163780335</v>
      </c>
      <c r="K33" t="n">
        <v>68.0310701767264</v>
      </c>
      <c r="L33" t="n">
        <v>70.4437124542787</v>
      </c>
      <c r="M33" t="n">
        <v>71.2393196071329</v>
      </c>
      <c r="N33" t="n">
        <v>70.818259738923</v>
      </c>
      <c r="O33" t="n">
        <v>70.4018420217322</v>
      </c>
      <c r="P33" t="n">
        <v>70.0186249050203</v>
      </c>
      <c r="Q33" t="n">
        <v>67.7831369326264</v>
      </c>
      <c r="R33" t="n">
        <v>66.7171151841694</v>
      </c>
      <c r="S33" t="n">
        <v>64.8255322206404</v>
      </c>
      <c r="T33" t="n">
        <v>66.6201037405572</v>
      </c>
      <c r="U33" t="n">
        <v>68.0889429642878</v>
      </c>
      <c r="V33" t="n">
        <v>70.3515854760565</v>
      </c>
      <c r="W33" t="n">
        <v>72.8103349879211</v>
      </c>
      <c r="X33" t="n">
        <v>76.3761370097888</v>
      </c>
      <c r="Y33" t="n">
        <v>78.7693624469676</v>
      </c>
      <c r="Z33" t="n">
        <v>80.7527126088338</v>
      </c>
      <c r="AA33" t="n">
        <v>82.2012256251604</v>
      </c>
      <c r="AB33" t="n">
        <v>86.1258011700783</v>
      </c>
      <c r="AC33" t="n">
        <v>87.6736365852141</v>
      </c>
      <c r="AD33" t="n">
        <v>92.0568581955833</v>
      </c>
      <c r="AE33" t="n">
        <v>100</v>
      </c>
      <c r="AF33" t="n">
        <v>104.266673411062</v>
      </c>
    </row>
    <row r="34">
      <c r="A34" t="s">
        <v>27</v>
      </c>
      <c r="B34" t="s">
        <v>225</v>
      </c>
      <c r="C34" t="s">
        <v>129</v>
      </c>
      <c r="D34" t="s">
        <v>226</v>
      </c>
      <c r="E34" t="s">
        <v>130</v>
      </c>
      <c r="F34" t="n">
        <v>14.8285323184928</v>
      </c>
      <c r="G34" t="n">
        <v>18.4021660432108</v>
      </c>
      <c r="H34" t="n">
        <v>22.7412469083437</v>
      </c>
      <c r="I34" t="n">
        <v>24.0816747288007</v>
      </c>
      <c r="J34" t="n">
        <v>26.6361444500893</v>
      </c>
      <c r="K34" t="n">
        <v>31.4423136820718</v>
      </c>
      <c r="L34" t="n">
        <v>36.3433723724746</v>
      </c>
      <c r="M34" t="n">
        <v>44.9841983233595</v>
      </c>
      <c r="N34" t="n">
        <v>52.0550179742003</v>
      </c>
      <c r="O34" t="n">
        <v>55.5552745214272</v>
      </c>
      <c r="P34" t="n">
        <v>56.9045054853756</v>
      </c>
      <c r="Q34" t="n">
        <v>58.1129603804654</v>
      </c>
      <c r="R34" t="n">
        <v>59.5510664882303</v>
      </c>
      <c r="S34" t="n">
        <v>63.6023987485196</v>
      </c>
      <c r="T34" t="n">
        <v>65.2770580665095</v>
      </c>
      <c r="U34" t="n">
        <v>67.570491678086</v>
      </c>
      <c r="V34" t="n">
        <v>64.023434796162</v>
      </c>
      <c r="W34" t="n">
        <v>59.7995434853335</v>
      </c>
      <c r="X34" t="n">
        <v>62.5608456949013</v>
      </c>
      <c r="Y34" t="n">
        <v>65.2227035322126</v>
      </c>
      <c r="Z34" t="n">
        <v>66.3418483592123</v>
      </c>
      <c r="AA34" t="n">
        <v>67.9791823623826</v>
      </c>
      <c r="AB34" t="n">
        <v>73.0962457388487</v>
      </c>
      <c r="AC34" t="n">
        <v>79.1160162532739</v>
      </c>
      <c r="AD34" t="n">
        <v>85.6454670654197</v>
      </c>
      <c r="AE34" t="n">
        <v>100</v>
      </c>
      <c r="AF34" t="n">
        <v>100.875502559324</v>
      </c>
    </row>
    <row r="35">
      <c r="A35" t="s">
        <v>27</v>
      </c>
      <c r="B35" t="s">
        <v>227</v>
      </c>
      <c r="C35" t="s">
        <v>129</v>
      </c>
      <c r="D35" t="s">
        <v>228</v>
      </c>
      <c r="E35" t="s">
        <v>130</v>
      </c>
      <c r="F35" t="n">
        <v>45.7163872842682</v>
      </c>
      <c r="G35" t="n">
        <v>55.3186573984382</v>
      </c>
      <c r="H35" t="n">
        <v>65.6862407812522</v>
      </c>
      <c r="I35" t="n">
        <v>73.0149906538564</v>
      </c>
      <c r="J35" t="n">
        <v>83.055717563321</v>
      </c>
      <c r="K35" t="n">
        <v>84.9603882458056</v>
      </c>
      <c r="L35" t="n">
        <v>89.2163467983084</v>
      </c>
      <c r="M35" t="n">
        <v>91.9510232885018</v>
      </c>
      <c r="N35" t="n">
        <v>94.0421867447464</v>
      </c>
      <c r="O35" t="n">
        <v>96.3543318777206</v>
      </c>
      <c r="P35" t="n">
        <v>98.7126750284216</v>
      </c>
      <c r="Q35" t="n">
        <v>102.059110110797</v>
      </c>
      <c r="R35" t="n">
        <v>106.545991813913</v>
      </c>
      <c r="S35" t="n">
        <v>109.860721170396</v>
      </c>
      <c r="T35" t="n">
        <v>104.72822233759</v>
      </c>
      <c r="U35" t="n">
        <v>102.348633270111</v>
      </c>
      <c r="V35" t="n">
        <v>101.271054342699</v>
      </c>
      <c r="W35" t="n">
        <v>100.82801868789</v>
      </c>
      <c r="X35" t="n">
        <v>101.909978619586</v>
      </c>
      <c r="Y35" t="n">
        <v>103.341250984231</v>
      </c>
      <c r="Z35" t="n">
        <v>102.283861833956</v>
      </c>
      <c r="AA35" t="n">
        <v>101.893693323278</v>
      </c>
      <c r="AB35" t="n">
        <v>100.139597084643</v>
      </c>
      <c r="AC35" t="n">
        <v>99.3701567071221</v>
      </c>
      <c r="AD35" t="n">
        <v>99.6308005269194</v>
      </c>
      <c r="AE35" t="n">
        <v>100</v>
      </c>
      <c r="AF35" t="n">
        <v>98.8565611777377</v>
      </c>
    </row>
    <row r="36">
      <c r="A36" t="s">
        <v>27</v>
      </c>
      <c r="B36" t="s">
        <v>229</v>
      </c>
      <c r="C36" t="s">
        <v>129</v>
      </c>
      <c r="D36" t="s">
        <v>230</v>
      </c>
      <c r="E36" t="s">
        <v>130</v>
      </c>
      <c r="F36" t="n">
        <v>20.7791893756725</v>
      </c>
      <c r="G36" t="n">
        <v>24.5028936664457</v>
      </c>
      <c r="H36" t="n">
        <v>27.6456275330542</v>
      </c>
      <c r="I36" t="n">
        <v>30.779894570583</v>
      </c>
      <c r="J36" t="n">
        <v>36.3499288479356</v>
      </c>
      <c r="K36" t="n">
        <v>38.2146406380936</v>
      </c>
      <c r="L36" t="n">
        <v>41.5615898676397</v>
      </c>
      <c r="M36" t="n">
        <v>43.8365742296419</v>
      </c>
      <c r="N36" t="n">
        <v>45.9995758988629</v>
      </c>
      <c r="O36" t="n">
        <v>50.6504701984087</v>
      </c>
      <c r="P36" t="n">
        <v>55.7202123440116</v>
      </c>
      <c r="Q36" t="n">
        <v>61.2843041917851</v>
      </c>
      <c r="R36" t="n">
        <v>66.9168418210576</v>
      </c>
      <c r="S36" t="n">
        <v>74.7139444254333</v>
      </c>
      <c r="T36" t="n">
        <v>76.6437956672337</v>
      </c>
      <c r="U36" t="n">
        <v>79.4508548201582</v>
      </c>
      <c r="V36" t="n">
        <v>82.2216323272787</v>
      </c>
      <c r="W36" t="n">
        <v>87.3275415954138</v>
      </c>
      <c r="X36" t="n">
        <v>84.5001028933687</v>
      </c>
      <c r="Y36" t="n">
        <v>86.1766093779893</v>
      </c>
      <c r="Z36" t="n">
        <v>88.0554625387333</v>
      </c>
      <c r="AA36" t="n">
        <v>88.6027650119976</v>
      </c>
      <c r="AB36" t="n">
        <v>90.6246522719144</v>
      </c>
      <c r="AC36" t="n">
        <v>92.9655904315333</v>
      </c>
      <c r="AD36" t="n">
        <v>96.7110282275155</v>
      </c>
      <c r="AE36" t="n">
        <v>100</v>
      </c>
      <c r="AF36" t="n">
        <v>101.054131270035</v>
      </c>
    </row>
    <row r="37">
      <c r="A37" t="s">
        <v>27</v>
      </c>
      <c r="B37" t="s">
        <v>231</v>
      </c>
      <c r="C37" t="s">
        <v>129</v>
      </c>
      <c r="D37" t="s">
        <v>232</v>
      </c>
      <c r="E37" t="s">
        <v>130</v>
      </c>
      <c r="F37" t="n">
        <v>104.057638177488</v>
      </c>
      <c r="G37" t="n">
        <v>128.237841355894</v>
      </c>
      <c r="H37" t="n">
        <v>156.100537853906</v>
      </c>
      <c r="I37" t="n">
        <v>174.995370462649</v>
      </c>
      <c r="J37" t="n">
        <v>199.858411145153</v>
      </c>
      <c r="K37" t="n">
        <v>199.674255687635</v>
      </c>
      <c r="L37" t="n">
        <v>208.006563835253</v>
      </c>
      <c r="M37" t="n">
        <v>210.04976007741</v>
      </c>
      <c r="N37" t="n">
        <v>207.672629315265</v>
      </c>
      <c r="O37" t="n">
        <v>203.255886858382</v>
      </c>
      <c r="P37" t="n">
        <v>203.130296501908</v>
      </c>
      <c r="Q37" t="n">
        <v>200.072515299381</v>
      </c>
      <c r="R37" t="n">
        <v>198.922354338785</v>
      </c>
      <c r="S37" t="n">
        <v>195.15790619893</v>
      </c>
      <c r="T37" t="n">
        <v>170.017336820367</v>
      </c>
      <c r="U37" t="n">
        <v>156.329010315959</v>
      </c>
      <c r="V37" t="n">
        <v>148.440629374648</v>
      </c>
      <c r="W37" t="n">
        <v>135.393026203824</v>
      </c>
      <c r="X37" t="n">
        <v>135.510494425441</v>
      </c>
      <c r="Y37" t="n">
        <v>137.527347976287</v>
      </c>
      <c r="Z37" t="n">
        <v>132.523512418682</v>
      </c>
      <c r="AA37" t="n">
        <v>127.661115624587</v>
      </c>
      <c r="AB37" t="n">
        <v>117.689944915967</v>
      </c>
      <c r="AC37" t="n">
        <v>111.772089775779</v>
      </c>
      <c r="AD37" t="n">
        <v>105.333135992501</v>
      </c>
      <c r="AE37" t="n">
        <v>100</v>
      </c>
      <c r="AF37" t="n">
        <v>90.8638749877343</v>
      </c>
    </row>
    <row r="38">
      <c r="A38" t="s">
        <v>27</v>
      </c>
      <c r="B38" t="s">
        <v>233</v>
      </c>
      <c r="C38" t="s">
        <v>129</v>
      </c>
      <c r="D38" t="s">
        <v>234</v>
      </c>
      <c r="E38" t="s">
        <v>130</v>
      </c>
      <c r="F38" t="n">
        <v>32.4861151586472</v>
      </c>
      <c r="G38" t="n">
        <v>37.8798964368877</v>
      </c>
      <c r="H38" t="n">
        <v>43.4802622652958</v>
      </c>
      <c r="I38" t="n">
        <v>46.9579182896869</v>
      </c>
      <c r="J38" t="n">
        <v>51.1074052107146</v>
      </c>
      <c r="K38" t="n">
        <v>54.4378338434911</v>
      </c>
      <c r="L38" t="n">
        <v>56.6136521243965</v>
      </c>
      <c r="M38" t="n">
        <v>59.77218350655</v>
      </c>
      <c r="N38" t="n">
        <v>64.5939117406325</v>
      </c>
      <c r="O38" t="n">
        <v>68.9694021683357</v>
      </c>
      <c r="P38" t="n">
        <v>70.091949128563</v>
      </c>
      <c r="Q38" t="n">
        <v>75.2067754838618</v>
      </c>
      <c r="R38" t="n">
        <v>81.7164064264834</v>
      </c>
      <c r="S38" t="n">
        <v>85.7278839346829</v>
      </c>
      <c r="T38" t="n">
        <v>87.4814533287721</v>
      </c>
      <c r="U38" t="n">
        <v>87.0961803078222</v>
      </c>
      <c r="V38" t="n">
        <v>86.8746073657166</v>
      </c>
      <c r="W38" t="n">
        <v>89.1191455901538</v>
      </c>
      <c r="X38" t="n">
        <v>93.140750226659</v>
      </c>
      <c r="Y38" t="n">
        <v>94.1322438401667</v>
      </c>
      <c r="Z38" t="n">
        <v>93.6042936607591</v>
      </c>
      <c r="AA38" t="n">
        <v>94.861930777527</v>
      </c>
      <c r="AB38" t="n">
        <v>95.2249420303225</v>
      </c>
      <c r="AC38" t="n">
        <v>95.6352006506991</v>
      </c>
      <c r="AD38" t="n">
        <v>97.8054646377956</v>
      </c>
      <c r="AE38" t="n">
        <v>100</v>
      </c>
      <c r="AF38" t="n">
        <v>101.768733027123</v>
      </c>
    </row>
    <row r="39">
      <c r="A39" t="s">
        <v>27</v>
      </c>
      <c r="B39" t="s">
        <v>235</v>
      </c>
      <c r="C39" t="s">
        <v>129</v>
      </c>
      <c r="D39" t="s">
        <v>236</v>
      </c>
      <c r="E39" t="s">
        <v>130</v>
      </c>
      <c r="F39" t="n">
        <v>11.0926473833861</v>
      </c>
      <c r="G39" t="n">
        <v>16.5303329912644</v>
      </c>
      <c r="H39" t="n">
        <v>23.2378790397222</v>
      </c>
      <c r="I39" t="n">
        <v>27.2831907577413</v>
      </c>
      <c r="J39" t="n">
        <v>32.1572631360035</v>
      </c>
      <c r="K39" t="n">
        <v>34.5212604598744</v>
      </c>
      <c r="L39" t="n">
        <v>39.3318773784556</v>
      </c>
      <c r="M39" t="n">
        <v>43.5354342064115</v>
      </c>
      <c r="N39" t="n">
        <v>46.4930203270679</v>
      </c>
      <c r="O39" t="n">
        <v>48.9057278418187</v>
      </c>
      <c r="P39" t="n">
        <v>56.3574589079057</v>
      </c>
      <c r="Q39" t="n">
        <v>66.9384654691192</v>
      </c>
      <c r="R39" t="n">
        <v>69.8361340589872</v>
      </c>
      <c r="S39" t="n">
        <v>71.1701321246235</v>
      </c>
      <c r="T39" t="n">
        <v>78.4277617782291</v>
      </c>
      <c r="U39" t="n">
        <v>83.9166415223191</v>
      </c>
      <c r="V39" t="n">
        <v>87.629332190985</v>
      </c>
      <c r="W39" t="n">
        <v>86.9535934713993</v>
      </c>
      <c r="X39" t="n">
        <v>84.2523275340975</v>
      </c>
      <c r="Y39" t="n">
        <v>88.770923897077</v>
      </c>
      <c r="Z39" t="n">
        <v>86.2554240175852</v>
      </c>
      <c r="AA39" t="n">
        <v>86.1824895711786</v>
      </c>
      <c r="AB39" t="n">
        <v>92.757839656385</v>
      </c>
      <c r="AC39" t="n">
        <v>94.7137975683956</v>
      </c>
      <c r="AD39" t="n">
        <v>97.9721812516832</v>
      </c>
      <c r="AE39" t="n">
        <v>100</v>
      </c>
      <c r="AF39" t="n">
        <v>103.150107312945</v>
      </c>
    </row>
    <row r="40">
      <c r="A40" t="s">
        <v>27</v>
      </c>
      <c r="B40" t="s">
        <v>237</v>
      </c>
      <c r="C40" t="s">
        <v>129</v>
      </c>
      <c r="D40" t="s">
        <v>238</v>
      </c>
      <c r="E40" t="s">
        <v>130</v>
      </c>
      <c r="F40" t="n">
        <v>13.0690483448783</v>
      </c>
      <c r="G40" t="n">
        <v>16.6812664632142</v>
      </c>
      <c r="H40" t="n">
        <v>21.1380413648527</v>
      </c>
      <c r="I40" t="n">
        <v>26.2228272677245</v>
      </c>
      <c r="J40" t="n">
        <v>30.2455272460517</v>
      </c>
      <c r="K40" t="n">
        <v>35.1115101535791</v>
      </c>
      <c r="L40" t="n">
        <v>40.677166731071</v>
      </c>
      <c r="M40" t="n">
        <v>45.6414371565976</v>
      </c>
      <c r="N40" t="n">
        <v>46.9256134540862</v>
      </c>
      <c r="O40" t="n">
        <v>49.6177892681971</v>
      </c>
      <c r="P40" t="n">
        <v>50.8327834543726</v>
      </c>
      <c r="Q40" t="n">
        <v>51.4578503691147</v>
      </c>
      <c r="R40" t="n">
        <v>55.8078359795574</v>
      </c>
      <c r="S40" t="n">
        <v>59.6097601943245</v>
      </c>
      <c r="T40" t="n">
        <v>60.7327420135132</v>
      </c>
      <c r="U40" t="n">
        <v>62.0536469164783</v>
      </c>
      <c r="V40" t="n">
        <v>60.2631588782245</v>
      </c>
      <c r="W40" t="n">
        <v>59.1571015134549</v>
      </c>
      <c r="X40" t="n">
        <v>59.8337214477624</v>
      </c>
      <c r="Y40" t="n">
        <v>61.8645587953767</v>
      </c>
      <c r="Z40" t="n">
        <v>65.8660249092349</v>
      </c>
      <c r="AA40" t="n">
        <v>70.8614878212571</v>
      </c>
      <c r="AB40" t="n">
        <v>76.8282985283781</v>
      </c>
      <c r="AC40" t="n">
        <v>84.2049699717684</v>
      </c>
      <c r="AD40" t="n">
        <v>95.6104855674023</v>
      </c>
      <c r="AE40" t="n">
        <v>100</v>
      </c>
      <c r="AF40" t="n">
        <v>113.404306726899</v>
      </c>
    </row>
    <row r="41">
      <c r="A41" t="s">
        <v>27</v>
      </c>
      <c r="B41" t="s">
        <v>239</v>
      </c>
      <c r="C41" t="s">
        <v>129</v>
      </c>
      <c r="D41" t="s">
        <v>240</v>
      </c>
      <c r="E41" t="s">
        <v>130</v>
      </c>
      <c r="F41" t="n">
        <v>17.0865837556238</v>
      </c>
      <c r="G41" t="n">
        <v>21.3945598997799</v>
      </c>
      <c r="H41" t="n">
        <v>25.65395337885</v>
      </c>
      <c r="I41" t="n">
        <v>29.0672161461657</v>
      </c>
      <c r="J41" t="n">
        <v>32.174756966295</v>
      </c>
      <c r="K41" t="n">
        <v>35.5748336327727</v>
      </c>
      <c r="L41" t="n">
        <v>39.0096898323704</v>
      </c>
      <c r="M41" t="n">
        <v>41.189539191975</v>
      </c>
      <c r="N41" t="n">
        <v>42.9667281832706</v>
      </c>
      <c r="O41" t="n">
        <v>45.7058960149199</v>
      </c>
      <c r="P41" t="n">
        <v>47.3839056173307</v>
      </c>
      <c r="Q41" t="n">
        <v>49.708243068458</v>
      </c>
      <c r="R41" t="n">
        <v>53.4040662966832</v>
      </c>
      <c r="S41" t="n">
        <v>57.0218703112061</v>
      </c>
      <c r="T41" t="n">
        <v>58.9801624589305</v>
      </c>
      <c r="U41" t="n">
        <v>58.0797136025711</v>
      </c>
      <c r="V41" t="n">
        <v>57.0998291648342</v>
      </c>
      <c r="W41" t="n">
        <v>56.69079599218</v>
      </c>
      <c r="X41" t="n">
        <v>56.7258486417164</v>
      </c>
      <c r="Y41" t="n">
        <v>58.689294133589</v>
      </c>
      <c r="Z41" t="n">
        <v>63.5176044378705</v>
      </c>
      <c r="AA41" t="n">
        <v>69.1498837608577</v>
      </c>
      <c r="AB41" t="n">
        <v>76.1631040738598</v>
      </c>
      <c r="AC41" t="n">
        <v>84.5832490813414</v>
      </c>
      <c r="AD41" t="n">
        <v>96.3262287370832</v>
      </c>
      <c r="AE41" t="n">
        <v>100</v>
      </c>
      <c r="AF41" t="n">
        <v>117.714678433025</v>
      </c>
    </row>
    <row r="42">
      <c r="A42" t="s">
        <v>27</v>
      </c>
      <c r="B42" t="s">
        <v>241</v>
      </c>
      <c r="C42" t="s">
        <v>129</v>
      </c>
      <c r="D42" t="s">
        <v>242</v>
      </c>
      <c r="E42" t="s">
        <v>130</v>
      </c>
      <c r="F42" t="n">
        <v>22.3200869112075</v>
      </c>
      <c r="G42" t="n">
        <v>26.9029654870837</v>
      </c>
      <c r="H42" t="n">
        <v>32.1432071387454</v>
      </c>
      <c r="I42" t="n">
        <v>36.7411150369465</v>
      </c>
      <c r="J42" t="n">
        <v>40.6343303830836</v>
      </c>
      <c r="K42" t="n">
        <v>45.1063174241926</v>
      </c>
      <c r="L42" t="n">
        <v>52.1382796854523</v>
      </c>
      <c r="M42" t="n">
        <v>56.3508888736172</v>
      </c>
      <c r="N42" t="n">
        <v>61.1664996204023</v>
      </c>
      <c r="O42" t="n">
        <v>68.3718137283821</v>
      </c>
      <c r="P42" t="n">
        <v>71.6696500837813</v>
      </c>
      <c r="Q42" t="n">
        <v>75.3301566772872</v>
      </c>
      <c r="R42" t="n">
        <v>77.0820272526581</v>
      </c>
      <c r="S42" t="n">
        <v>82.969000117941</v>
      </c>
      <c r="T42" t="n">
        <v>84.8722600511475</v>
      </c>
      <c r="U42" t="n">
        <v>87.5701111413132</v>
      </c>
      <c r="V42" t="n">
        <v>88.2894005611722</v>
      </c>
      <c r="W42" t="n">
        <v>88.5927099380723</v>
      </c>
      <c r="X42" t="n">
        <v>89.4561432547854</v>
      </c>
      <c r="Y42" t="n">
        <v>90.7222268499853</v>
      </c>
      <c r="Z42" t="n">
        <v>92.6323048949463</v>
      </c>
      <c r="AA42" t="n">
        <v>93.0862724023187</v>
      </c>
      <c r="AB42" t="n">
        <v>93.9750237607759</v>
      </c>
      <c r="AC42" t="n">
        <v>95.1107446475834</v>
      </c>
      <c r="AD42" t="n">
        <v>97.7925182286132</v>
      </c>
      <c r="AE42" t="n">
        <v>100</v>
      </c>
      <c r="AF42" t="n">
        <v>102.287338181706</v>
      </c>
    </row>
    <row r="43">
      <c r="A43" t="s">
        <v>27</v>
      </c>
      <c r="B43" t="s">
        <v>243</v>
      </c>
      <c r="C43" t="s">
        <v>129</v>
      </c>
      <c r="D43" t="s">
        <v>244</v>
      </c>
      <c r="E43" t="s">
        <v>130</v>
      </c>
      <c r="F43" t="n">
        <v>21.9182030631476</v>
      </c>
      <c r="G43" t="n">
        <v>26.4729050084746</v>
      </c>
      <c r="H43" t="n">
        <v>31.6522019176991</v>
      </c>
      <c r="I43" t="n">
        <v>36.0818788568206</v>
      </c>
      <c r="J43" t="n">
        <v>40.2681107511979</v>
      </c>
      <c r="K43" t="n">
        <v>45.1406861369058</v>
      </c>
      <c r="L43" t="n">
        <v>51.4448589472453</v>
      </c>
      <c r="M43" t="n">
        <v>55.6571735785194</v>
      </c>
      <c r="N43" t="n">
        <v>58.7762266615782</v>
      </c>
      <c r="O43" t="n">
        <v>64.5732357973872</v>
      </c>
      <c r="P43" t="n">
        <v>67.4201577069927</v>
      </c>
      <c r="Q43" t="n">
        <v>70.5130179444514</v>
      </c>
      <c r="R43" t="n">
        <v>73.1712913631917</v>
      </c>
      <c r="S43" t="n">
        <v>79.4253019341504</v>
      </c>
      <c r="T43" t="n">
        <v>81.2487735042841</v>
      </c>
      <c r="U43" t="n">
        <v>83.5307167492504</v>
      </c>
      <c r="V43" t="n">
        <v>85.0757377862885</v>
      </c>
      <c r="W43" t="n">
        <v>84.573954244551</v>
      </c>
      <c r="X43" t="n">
        <v>86.2568890893895</v>
      </c>
      <c r="Y43" t="n">
        <v>87.3344238126318</v>
      </c>
      <c r="Z43" t="n">
        <v>89.0676500411613</v>
      </c>
      <c r="AA43" t="n">
        <v>90.1516896350092</v>
      </c>
      <c r="AB43" t="n">
        <v>91.8589483958167</v>
      </c>
      <c r="AC43" t="n">
        <v>93.6332324489624</v>
      </c>
      <c r="AD43" t="n">
        <v>97.2492579775115</v>
      </c>
      <c r="AE43" t="n">
        <v>100</v>
      </c>
      <c r="AF43" t="n">
        <v>102.594051757765</v>
      </c>
    </row>
    <row r="44">
      <c r="A44" t="s">
        <v>27</v>
      </c>
      <c r="B44" t="s">
        <v>245</v>
      </c>
      <c r="C44" t="s">
        <v>129</v>
      </c>
      <c r="D44" t="s">
        <v>246</v>
      </c>
      <c r="E44" t="s">
        <v>130</v>
      </c>
      <c r="F44" t="n">
        <v>24.2018686432993</v>
      </c>
      <c r="G44" t="n">
        <v>29.4967440781373</v>
      </c>
      <c r="H44" t="n">
        <v>35.8346722498476</v>
      </c>
      <c r="I44" t="n">
        <v>40.2495902264621</v>
      </c>
      <c r="J44" t="n">
        <v>42.5720566433667</v>
      </c>
      <c r="K44" t="n">
        <v>46.1666087240946</v>
      </c>
      <c r="L44" t="n">
        <v>51.6226284435979</v>
      </c>
      <c r="M44" t="n">
        <v>54.9493894411446</v>
      </c>
      <c r="N44" t="n">
        <v>56.3738184698598</v>
      </c>
      <c r="O44" t="n">
        <v>58.9602662798359</v>
      </c>
      <c r="P44" t="n">
        <v>60.8175438135959</v>
      </c>
      <c r="Q44" t="n">
        <v>63.8084742382114</v>
      </c>
      <c r="R44" t="n">
        <v>66.7518483284508</v>
      </c>
      <c r="S44" t="n">
        <v>69.3927058989973</v>
      </c>
      <c r="T44" t="n">
        <v>72.8226907703502</v>
      </c>
      <c r="U44" t="n">
        <v>74.9007130767315</v>
      </c>
      <c r="V44" t="n">
        <v>77.7506758878846</v>
      </c>
      <c r="W44" t="n">
        <v>79.695323863394</v>
      </c>
      <c r="X44" t="n">
        <v>82.2946248673112</v>
      </c>
      <c r="Y44" t="n">
        <v>84.6340208448621</v>
      </c>
      <c r="Z44" t="n">
        <v>85.9996758535448</v>
      </c>
      <c r="AA44" t="n">
        <v>86.1969488908951</v>
      </c>
      <c r="AB44" t="n">
        <v>88.6036910900806</v>
      </c>
      <c r="AC44" t="n">
        <v>91.2467065250973</v>
      </c>
      <c r="AD44" t="n">
        <v>94.2438369306745</v>
      </c>
      <c r="AE44" t="n">
        <v>100</v>
      </c>
      <c r="AF44" t="n">
        <v>104.529270932021</v>
      </c>
    </row>
    <row r="45">
      <c r="A45" t="s">
        <v>27</v>
      </c>
      <c r="B45" t="s">
        <v>247</v>
      </c>
      <c r="C45" t="s">
        <v>129</v>
      </c>
      <c r="D45" t="s">
        <v>248</v>
      </c>
      <c r="E45" t="s">
        <v>130</v>
      </c>
      <c r="F45" t="n">
        <v>23.0393719118145</v>
      </c>
      <c r="G45" t="n">
        <v>28.193970019425</v>
      </c>
      <c r="H45" t="n">
        <v>34.5513506076348</v>
      </c>
      <c r="I45" t="n">
        <v>38.9761454802647</v>
      </c>
      <c r="J45" t="n">
        <v>41.6336348810529</v>
      </c>
      <c r="K45" t="n">
        <v>44.822598594239</v>
      </c>
      <c r="L45" t="n">
        <v>50.5336395804963</v>
      </c>
      <c r="M45" t="n">
        <v>53.4616758992975</v>
      </c>
      <c r="N45" t="n">
        <v>55.0203781217995</v>
      </c>
      <c r="O45" t="n">
        <v>58.7483075588208</v>
      </c>
      <c r="P45" t="n">
        <v>60.8348686956105</v>
      </c>
      <c r="Q45" t="n">
        <v>63.6774086511508</v>
      </c>
      <c r="R45" t="n">
        <v>65.8645639400467</v>
      </c>
      <c r="S45" t="n">
        <v>70.6425643214295</v>
      </c>
      <c r="T45" t="n">
        <v>74.446877619737</v>
      </c>
      <c r="U45" t="n">
        <v>75.6800197709611</v>
      </c>
      <c r="V45" t="n">
        <v>77.9394282870147</v>
      </c>
      <c r="W45" t="n">
        <v>78.8984958768408</v>
      </c>
      <c r="X45" t="n">
        <v>82.1338504106217</v>
      </c>
      <c r="Y45" t="n">
        <v>84.9695601078798</v>
      </c>
      <c r="Z45" t="n">
        <v>86.2752697749771</v>
      </c>
      <c r="AA45" t="n">
        <v>86.8262063586939</v>
      </c>
      <c r="AB45" t="n">
        <v>88.7758098281651</v>
      </c>
      <c r="AC45" t="n">
        <v>91.7279201705137</v>
      </c>
      <c r="AD45" t="n">
        <v>94.5489601012918</v>
      </c>
      <c r="AE45" t="n">
        <v>100</v>
      </c>
      <c r="AF45" t="n">
        <v>103.953915046321</v>
      </c>
    </row>
    <row r="46">
      <c r="A46" t="s">
        <v>27</v>
      </c>
      <c r="B46" t="s">
        <v>249</v>
      </c>
      <c r="C46" t="s">
        <v>129</v>
      </c>
      <c r="D46" t="s">
        <v>250</v>
      </c>
      <c r="E46" t="s">
        <v>130</v>
      </c>
      <c r="F46" t="n">
        <v>21.2167566510218</v>
      </c>
      <c r="G46" t="n">
        <v>25.7122764575306</v>
      </c>
      <c r="H46" t="n">
        <v>30.7834410759837</v>
      </c>
      <c r="I46" t="n">
        <v>34.9168661622424</v>
      </c>
      <c r="J46" t="n">
        <v>39.5935344281473</v>
      </c>
      <c r="K46" t="n">
        <v>45.1430041237374</v>
      </c>
      <c r="L46" t="n">
        <v>50.1894301944315</v>
      </c>
      <c r="M46" t="n">
        <v>54.3921437262836</v>
      </c>
      <c r="N46" t="n">
        <v>54.9085444022291</v>
      </c>
      <c r="O46" t="n">
        <v>58.6672516421294</v>
      </c>
      <c r="P46" t="n">
        <v>60.8674770628586</v>
      </c>
      <c r="Q46" t="n">
        <v>63.1462437984406</v>
      </c>
      <c r="R46" t="n">
        <v>67.0565489955495</v>
      </c>
      <c r="S46" t="n">
        <v>73.8311631543179</v>
      </c>
      <c r="T46" t="n">
        <v>75.5285371728499</v>
      </c>
      <c r="U46" t="n">
        <v>77.1573393297704</v>
      </c>
      <c r="V46" t="n">
        <v>79.9304953839158</v>
      </c>
      <c r="W46" t="n">
        <v>78.2564328045833</v>
      </c>
      <c r="X46" t="n">
        <v>81.1871286319386</v>
      </c>
      <c r="Y46" t="n">
        <v>81.9794696023653</v>
      </c>
      <c r="Z46" t="n">
        <v>83.4431234900629</v>
      </c>
      <c r="AA46" t="n">
        <v>85.4842669254436</v>
      </c>
      <c r="AB46" t="n">
        <v>88.38071318054</v>
      </c>
      <c r="AC46" t="n">
        <v>91.1290584295628</v>
      </c>
      <c r="AD46" t="n">
        <v>96.2185326724971</v>
      </c>
      <c r="AE46" t="n">
        <v>100</v>
      </c>
      <c r="AF46" t="n">
        <v>103.129842230784</v>
      </c>
    </row>
    <row r="47">
      <c r="A47" t="s">
        <v>27</v>
      </c>
      <c r="B47" t="s">
        <v>251</v>
      </c>
      <c r="C47" t="s">
        <v>129</v>
      </c>
      <c r="D47" t="s">
        <v>252</v>
      </c>
      <c r="E47" t="s">
        <v>130</v>
      </c>
      <c r="F47" t="n">
        <v>18.0238062137059</v>
      </c>
      <c r="G47" t="n">
        <v>21.4542671486329</v>
      </c>
      <c r="H47" t="n">
        <v>26.4583862737839</v>
      </c>
      <c r="I47" t="n">
        <v>31.3662815483056</v>
      </c>
      <c r="J47" t="n">
        <v>36.1132736999001</v>
      </c>
      <c r="K47" t="n">
        <v>40.4157419355895</v>
      </c>
      <c r="L47" t="n">
        <v>46.6266781486729</v>
      </c>
      <c r="M47" t="n">
        <v>53.5926410320874</v>
      </c>
      <c r="N47" t="n">
        <v>56.8613433111485</v>
      </c>
      <c r="O47" t="n">
        <v>60.5133542299506</v>
      </c>
      <c r="P47" t="n">
        <v>64.3760962003516</v>
      </c>
      <c r="Q47" t="n">
        <v>68.5527750336354</v>
      </c>
      <c r="R47" t="n">
        <v>70.5731639159159</v>
      </c>
      <c r="S47" t="n">
        <v>76.046649951748</v>
      </c>
      <c r="T47" t="n">
        <v>75.3727076736436</v>
      </c>
      <c r="U47" t="n">
        <v>73.6300440959332</v>
      </c>
      <c r="V47" t="n">
        <v>71.8370158159069</v>
      </c>
      <c r="W47" t="n">
        <v>69.9252893375135</v>
      </c>
      <c r="X47" t="n">
        <v>70.5886707851512</v>
      </c>
      <c r="Y47" t="n">
        <v>71.3271317076352</v>
      </c>
      <c r="Z47" t="n">
        <v>72.557245891823</v>
      </c>
      <c r="AA47" t="n">
        <v>77.5860556497223</v>
      </c>
      <c r="AB47" t="n">
        <v>83.8907545510869</v>
      </c>
      <c r="AC47" t="n">
        <v>88.7133571789647</v>
      </c>
      <c r="AD47" t="n">
        <v>97.4414664108879</v>
      </c>
      <c r="AE47" t="n">
        <v>100</v>
      </c>
      <c r="AF47" t="n">
        <v>106.508495732241</v>
      </c>
    </row>
    <row r="48">
      <c r="A48" t="s">
        <v>27</v>
      </c>
      <c r="B48" t="s">
        <v>253</v>
      </c>
      <c r="C48" t="s">
        <v>129</v>
      </c>
      <c r="D48" t="s">
        <v>254</v>
      </c>
      <c r="E48" t="s">
        <v>130</v>
      </c>
      <c r="F48" t="n">
        <v>17.6379531571063</v>
      </c>
      <c r="G48" t="n">
        <v>20.5686747804738</v>
      </c>
      <c r="H48" t="n">
        <v>24.9591112461373</v>
      </c>
      <c r="I48" t="n">
        <v>28.8490518928093</v>
      </c>
      <c r="J48" t="n">
        <v>32.5728040697939</v>
      </c>
      <c r="K48" t="n">
        <v>35.1675107931663</v>
      </c>
      <c r="L48" t="n">
        <v>39.767191797315</v>
      </c>
      <c r="M48" t="n">
        <v>45.8811734186727</v>
      </c>
      <c r="N48" t="n">
        <v>51.0372891790093</v>
      </c>
      <c r="O48" t="n">
        <v>53.5531714943433</v>
      </c>
      <c r="P48" t="n">
        <v>56.1077792270575</v>
      </c>
      <c r="Q48" t="n">
        <v>58.5202083232637</v>
      </c>
      <c r="R48" t="n">
        <v>59.9080215933466</v>
      </c>
      <c r="S48" t="n">
        <v>63.5492261100062</v>
      </c>
      <c r="T48" t="n">
        <v>62.6726693054529</v>
      </c>
      <c r="U48" t="n">
        <v>62.2420943255436</v>
      </c>
      <c r="V48" t="n">
        <v>60.8224699536356</v>
      </c>
      <c r="W48" t="n">
        <v>61.1236882078993</v>
      </c>
      <c r="X48" t="n">
        <v>61.2359463676313</v>
      </c>
      <c r="Y48" t="n">
        <v>65.3093106628165</v>
      </c>
      <c r="Z48" t="n">
        <v>68.4930305050469</v>
      </c>
      <c r="AA48" t="n">
        <v>73.0420866237945</v>
      </c>
      <c r="AB48" t="n">
        <v>78.6113824943635</v>
      </c>
      <c r="AC48" t="n">
        <v>83.9718457772216</v>
      </c>
      <c r="AD48" t="n">
        <v>90.479733940776</v>
      </c>
      <c r="AE48" t="n">
        <v>100</v>
      </c>
      <c r="AF48" t="n">
        <v>109.019086007459</v>
      </c>
    </row>
    <row r="49">
      <c r="A49" t="s">
        <v>27</v>
      </c>
      <c r="B49" t="s">
        <v>255</v>
      </c>
      <c r="C49" t="s">
        <v>129</v>
      </c>
      <c r="D49" t="s">
        <v>256</v>
      </c>
      <c r="E49" t="s">
        <v>130</v>
      </c>
      <c r="F49" t="n">
        <v>18.6942564887629</v>
      </c>
      <c r="G49" t="n">
        <v>20.977544432685</v>
      </c>
      <c r="H49" t="n">
        <v>25.0846475478054</v>
      </c>
      <c r="I49" t="n">
        <v>28.2274984310466</v>
      </c>
      <c r="J49" t="n">
        <v>31.9353812526089</v>
      </c>
      <c r="K49" t="n">
        <v>33.1720995076034</v>
      </c>
      <c r="L49" t="n">
        <v>36.9459115321498</v>
      </c>
      <c r="M49" t="n">
        <v>43.2507194435204</v>
      </c>
      <c r="N49" t="n">
        <v>51.731609969169</v>
      </c>
      <c r="O49" t="n">
        <v>53.8508591103197</v>
      </c>
      <c r="P49" t="n">
        <v>57.7722428582393</v>
      </c>
      <c r="Q49" t="n">
        <v>60.5546389035342</v>
      </c>
      <c r="R49" t="n">
        <v>59.5581893947142</v>
      </c>
      <c r="S49" t="n">
        <v>62.5276396368142</v>
      </c>
      <c r="T49" t="n">
        <v>61.3047011838665</v>
      </c>
      <c r="U49" t="n">
        <v>61.0692377273767</v>
      </c>
      <c r="V49" t="n">
        <v>58.9972226944057</v>
      </c>
      <c r="W49" t="n">
        <v>58.1692647907312</v>
      </c>
      <c r="X49" t="n">
        <v>55.1636364063572</v>
      </c>
      <c r="Y49" t="n">
        <v>69.5550502616898</v>
      </c>
      <c r="Z49" t="n">
        <v>76.5170599158505</v>
      </c>
      <c r="AA49" t="n">
        <v>82.5737067333608</v>
      </c>
      <c r="AB49" t="n">
        <v>86.9481907671482</v>
      </c>
      <c r="AC49" t="n">
        <v>91.3979373379434</v>
      </c>
      <c r="AD49" t="n">
        <v>97.7169532277036</v>
      </c>
      <c r="AE49" t="n">
        <v>100</v>
      </c>
      <c r="AF49" t="n">
        <v>109.926282067136</v>
      </c>
    </row>
    <row r="50">
      <c r="A50" t="s">
        <v>27</v>
      </c>
      <c r="B50" t="s">
        <v>257</v>
      </c>
      <c r="C50" t="s">
        <v>129</v>
      </c>
      <c r="D50" t="s">
        <v>258</v>
      </c>
      <c r="E50" t="s">
        <v>130</v>
      </c>
      <c r="F50" t="n">
        <v>15.4577454895942</v>
      </c>
      <c r="G50" t="n">
        <v>18.1617034372553</v>
      </c>
      <c r="H50" t="n">
        <v>21.7382665144543</v>
      </c>
      <c r="I50" t="n">
        <v>24.6721428888259</v>
      </c>
      <c r="J50" t="n">
        <v>26.6826141542715</v>
      </c>
      <c r="K50" t="n">
        <v>28.0442963619277</v>
      </c>
      <c r="L50" t="n">
        <v>30.9528247717032</v>
      </c>
      <c r="M50" t="n">
        <v>35.3718449060417</v>
      </c>
      <c r="N50" t="n">
        <v>39.618840739948</v>
      </c>
      <c r="O50" t="n">
        <v>40.8697116367812</v>
      </c>
      <c r="P50" t="n">
        <v>40.5363483703604</v>
      </c>
      <c r="Q50" t="n">
        <v>40.4029410635131</v>
      </c>
      <c r="R50" t="n">
        <v>42.9710409722858</v>
      </c>
      <c r="S50" t="n">
        <v>44.6600802307936</v>
      </c>
      <c r="T50" t="n">
        <v>43.8757083483755</v>
      </c>
      <c r="U50" t="n">
        <v>45.0594692401072</v>
      </c>
      <c r="V50" t="n">
        <v>44.7521802750464</v>
      </c>
      <c r="W50" t="n">
        <v>48.8373795100759</v>
      </c>
      <c r="X50" t="n">
        <v>50.7851242310948</v>
      </c>
      <c r="Y50" t="n">
        <v>51.3543476055229</v>
      </c>
      <c r="Z50" t="n">
        <v>54.3177312970346</v>
      </c>
      <c r="AA50" t="n">
        <v>56.9153427392465</v>
      </c>
      <c r="AB50" t="n">
        <v>62.1279370256977</v>
      </c>
      <c r="AC50" t="n">
        <v>68.662174377271</v>
      </c>
      <c r="AD50" t="n">
        <v>72.1311913419643</v>
      </c>
      <c r="AE50" t="n">
        <v>100</v>
      </c>
      <c r="AF50" t="n">
        <v>112.313142764204</v>
      </c>
    </row>
    <row r="51">
      <c r="A51" t="s">
        <v>27</v>
      </c>
      <c r="B51" t="s">
        <v>259</v>
      </c>
      <c r="C51" t="s">
        <v>129</v>
      </c>
      <c r="D51" t="s">
        <v>260</v>
      </c>
      <c r="E51" t="s">
        <v>130</v>
      </c>
      <c r="F51" t="n">
        <v>14.2814570261348</v>
      </c>
      <c r="G51" t="n">
        <v>16.7950478473906</v>
      </c>
      <c r="H51" t="n">
        <v>20.1448649946485</v>
      </c>
      <c r="I51" t="n">
        <v>22.9797583444532</v>
      </c>
      <c r="J51" t="n">
        <v>24.8872642100982</v>
      </c>
      <c r="K51" t="n">
        <v>26.219435506022</v>
      </c>
      <c r="L51" t="n">
        <v>28.7718376639216</v>
      </c>
      <c r="M51" t="n">
        <v>32.9696391317663</v>
      </c>
      <c r="N51" t="n">
        <v>36.5865715017607</v>
      </c>
      <c r="O51" t="n">
        <v>37.268273225714</v>
      </c>
      <c r="P51" t="n">
        <v>36.3196573739987</v>
      </c>
      <c r="Q51" t="n">
        <v>35.7696749897905</v>
      </c>
      <c r="R51" t="n">
        <v>38.6445306248904</v>
      </c>
      <c r="S51" t="n">
        <v>39.8512844603863</v>
      </c>
      <c r="T51" t="n">
        <v>39.4424096663727</v>
      </c>
      <c r="U51" t="n">
        <v>41.0512188025355</v>
      </c>
      <c r="V51" t="n">
        <v>41.1642361014104</v>
      </c>
      <c r="W51" t="n">
        <v>45.3349544550325</v>
      </c>
      <c r="X51" t="n">
        <v>47.3235385844581</v>
      </c>
      <c r="Y51" t="n">
        <v>47.6953859184944</v>
      </c>
      <c r="Z51" t="n">
        <v>50.4308538181167</v>
      </c>
      <c r="AA51" t="n">
        <v>52.8432437376545</v>
      </c>
      <c r="AB51" t="n">
        <v>57.4837718150314</v>
      </c>
      <c r="AC51" t="n">
        <v>63.6362133333393</v>
      </c>
      <c r="AD51" t="n">
        <v>66.1087954260703</v>
      </c>
      <c r="AE51" t="n">
        <v>100</v>
      </c>
      <c r="AF51" t="n">
        <v>113.160391909343</v>
      </c>
    </row>
    <row r="52">
      <c r="A52" t="s">
        <v>27</v>
      </c>
      <c r="B52" t="s">
        <v>261</v>
      </c>
      <c r="C52" t="s">
        <v>129</v>
      </c>
      <c r="D52" t="s">
        <v>262</v>
      </c>
      <c r="E52" t="s">
        <v>130</v>
      </c>
      <c r="F52" t="n">
        <v>18.9641611339071</v>
      </c>
      <c r="G52" t="n">
        <v>22.2035657507859</v>
      </c>
      <c r="H52" t="n">
        <v>26.370075115648</v>
      </c>
      <c r="I52" t="n">
        <v>29.3792774894789</v>
      </c>
      <c r="J52" t="n">
        <v>31.603475710901</v>
      </c>
      <c r="K52" t="n">
        <v>32.9025489908501</v>
      </c>
      <c r="L52" t="n">
        <v>37.126438781912</v>
      </c>
      <c r="M52" t="n">
        <v>41.9996889375879</v>
      </c>
      <c r="N52" t="n">
        <v>48.6481974215067</v>
      </c>
      <c r="O52" t="n">
        <v>52.417579370496</v>
      </c>
      <c r="P52" t="n">
        <v>55.1819650640549</v>
      </c>
      <c r="Q52" t="n">
        <v>57.1519205032121</v>
      </c>
      <c r="R52" t="n">
        <v>58.0675286977704</v>
      </c>
      <c r="S52" t="n">
        <v>61.8512882600993</v>
      </c>
      <c r="T52" t="n">
        <v>59.4514952423725</v>
      </c>
      <c r="U52" t="n">
        <v>58.6404988356506</v>
      </c>
      <c r="V52" t="n">
        <v>56.4443964095296</v>
      </c>
      <c r="W52" t="n">
        <v>59.5943641111452</v>
      </c>
      <c r="X52" t="n">
        <v>61.1032050856121</v>
      </c>
      <c r="Y52" t="n">
        <v>62.503651016676</v>
      </c>
      <c r="Z52" t="n">
        <v>66.1846291673844</v>
      </c>
      <c r="AA52" t="n">
        <v>69.3466582964679</v>
      </c>
      <c r="AB52" t="n">
        <v>76.5896022335094</v>
      </c>
      <c r="AC52" t="n">
        <v>84.1692766977272</v>
      </c>
      <c r="AD52" t="n">
        <v>91.8124741806665</v>
      </c>
      <c r="AE52" t="n">
        <v>100</v>
      </c>
      <c r="AF52" t="n">
        <v>109.255727106632</v>
      </c>
    </row>
    <row r="53">
      <c r="A53" t="s">
        <v>27</v>
      </c>
      <c r="B53" t="s">
        <v>263</v>
      </c>
      <c r="C53" t="s">
        <v>129</v>
      </c>
      <c r="D53" t="s">
        <v>264</v>
      </c>
      <c r="E53" t="s">
        <v>130</v>
      </c>
      <c r="F53" t="n">
        <v>30.4165838916656</v>
      </c>
      <c r="G53" t="n">
        <v>36.830529205873</v>
      </c>
      <c r="H53" t="n">
        <v>42.8067685016045</v>
      </c>
      <c r="I53" t="n">
        <v>49.0915244802887</v>
      </c>
      <c r="J53" t="n">
        <v>57.0296680106565</v>
      </c>
      <c r="K53" t="n">
        <v>60.5001822491374</v>
      </c>
      <c r="L53" t="n">
        <v>66.0774410817589</v>
      </c>
      <c r="M53" t="n">
        <v>74.3166528477514</v>
      </c>
      <c r="N53" t="n">
        <v>72.4457214264527</v>
      </c>
      <c r="O53" t="n">
        <v>74.834237148278</v>
      </c>
      <c r="P53" t="n">
        <v>78.0799754025984</v>
      </c>
      <c r="Q53" t="n">
        <v>76.9659483309533</v>
      </c>
      <c r="R53" t="n">
        <v>81.3514248022022</v>
      </c>
      <c r="S53" t="n">
        <v>82.9570373294067</v>
      </c>
      <c r="T53" t="n">
        <v>79.85365595962</v>
      </c>
      <c r="U53" t="n">
        <v>82.0072903206298</v>
      </c>
      <c r="V53" t="n">
        <v>81.8812491075935</v>
      </c>
      <c r="W53" t="n">
        <v>80.0957011375507</v>
      </c>
      <c r="X53" t="n">
        <v>80.8382045664835</v>
      </c>
      <c r="Y53" t="n">
        <v>82.9067310564445</v>
      </c>
      <c r="Z53" t="n">
        <v>84.6189263181159</v>
      </c>
      <c r="AA53" t="n">
        <v>87.9882841202091</v>
      </c>
      <c r="AB53" t="n">
        <v>95.1134897767775</v>
      </c>
      <c r="AC53" t="n">
        <v>98.3272875921521</v>
      </c>
      <c r="AD53" t="n">
        <v>97.1510216005989</v>
      </c>
      <c r="AE53" t="n">
        <v>100</v>
      </c>
      <c r="AF53" t="n">
        <v>112.41452977364</v>
      </c>
    </row>
    <row r="54">
      <c r="A54" t="s">
        <v>27</v>
      </c>
      <c r="B54" t="s">
        <v>265</v>
      </c>
      <c r="C54" t="s">
        <v>129</v>
      </c>
      <c r="D54" t="s">
        <v>266</v>
      </c>
      <c r="E54" t="s">
        <v>130</v>
      </c>
      <c r="F54" t="n">
        <v>23.904711700612</v>
      </c>
      <c r="G54" t="n">
        <v>28.9152398087636</v>
      </c>
      <c r="H54" t="n">
        <v>33.646792258421</v>
      </c>
      <c r="I54" t="n">
        <v>38.1363031433054</v>
      </c>
      <c r="J54" t="n">
        <v>43.2603560710899</v>
      </c>
      <c r="K54" t="n">
        <v>46.2529916791104</v>
      </c>
      <c r="L54" t="n">
        <v>50.6588653793539</v>
      </c>
      <c r="M54" t="n">
        <v>55.5699903751019</v>
      </c>
      <c r="N54" t="n">
        <v>57.3625291425271</v>
      </c>
      <c r="O54" t="n">
        <v>60.929471403821</v>
      </c>
      <c r="P54" t="n">
        <v>64.1929179710274</v>
      </c>
      <c r="Q54" t="n">
        <v>67.6116088401561</v>
      </c>
      <c r="R54" t="n">
        <v>71.3055358046648</v>
      </c>
      <c r="S54" t="n">
        <v>76.2305328619068</v>
      </c>
      <c r="T54" t="n">
        <v>76.1050745779757</v>
      </c>
      <c r="U54" t="n">
        <v>77.4618708930732</v>
      </c>
      <c r="V54" t="n">
        <v>76.8313767746478</v>
      </c>
      <c r="W54" t="n">
        <v>78.7880595881326</v>
      </c>
      <c r="X54" t="n">
        <v>82.6149042977895</v>
      </c>
      <c r="Y54" t="n">
        <v>84.8935649223566</v>
      </c>
      <c r="Z54" t="n">
        <v>89.1414372202367</v>
      </c>
      <c r="AA54" t="n">
        <v>91.6310049631403</v>
      </c>
      <c r="AB54" t="n">
        <v>95.2634592896109</v>
      </c>
      <c r="AC54" t="n">
        <v>96.7963928588872</v>
      </c>
      <c r="AD54" t="n">
        <v>99.3612110914311</v>
      </c>
      <c r="AE54" t="n">
        <v>100</v>
      </c>
      <c r="AF54" t="n">
        <v>109.91100044914</v>
      </c>
    </row>
    <row r="55">
      <c r="A55" t="s">
        <v>27</v>
      </c>
      <c r="B55" t="s">
        <v>267</v>
      </c>
      <c r="C55" t="s">
        <v>129</v>
      </c>
      <c r="D55" t="s">
        <v>268</v>
      </c>
      <c r="E55" t="s">
        <v>130</v>
      </c>
      <c r="F55" t="n">
        <v>20.1863300842434</v>
      </c>
      <c r="G55" t="n">
        <v>24.4006653697074</v>
      </c>
      <c r="H55" t="n">
        <v>28.4117726742867</v>
      </c>
      <c r="I55" t="n">
        <v>31.9923849165658</v>
      </c>
      <c r="J55" t="n">
        <v>35.7559156254233</v>
      </c>
      <c r="K55" t="n">
        <v>38.437362738175</v>
      </c>
      <c r="L55" t="n">
        <v>42.1837417757171</v>
      </c>
      <c r="M55" t="n">
        <v>45.3236319402527</v>
      </c>
      <c r="N55" t="n">
        <v>48.9509296594615</v>
      </c>
      <c r="O55" t="n">
        <v>53.0401633058134</v>
      </c>
      <c r="P55" t="n">
        <v>56.2629770613651</v>
      </c>
      <c r="Q55" t="n">
        <v>62.1812581751716</v>
      </c>
      <c r="R55" t="n">
        <v>65.4799488404249</v>
      </c>
      <c r="S55" t="n">
        <v>72.4334807666178</v>
      </c>
      <c r="T55" t="n">
        <v>73.9379048543639</v>
      </c>
      <c r="U55" t="n">
        <v>74.7915107667196</v>
      </c>
      <c r="V55" t="n">
        <v>73.8422805123934</v>
      </c>
      <c r="W55" t="n">
        <v>78.3363865684517</v>
      </c>
      <c r="X55" t="n">
        <v>84.5208223142554</v>
      </c>
      <c r="Y55" t="n">
        <v>86.9817604882565</v>
      </c>
      <c r="Z55" t="n">
        <v>93.5241477391067</v>
      </c>
      <c r="AA55" t="n">
        <v>95.2065972518016</v>
      </c>
      <c r="AB55" t="n">
        <v>95.3797465984929</v>
      </c>
      <c r="AC55" t="n">
        <v>95.247080557997</v>
      </c>
      <c r="AD55" t="n">
        <v>101.748780035583</v>
      </c>
      <c r="AE55" t="n">
        <v>100</v>
      </c>
      <c r="AF55" t="n">
        <v>107.098451640861</v>
      </c>
    </row>
    <row r="56">
      <c r="A56" t="s">
        <v>27</v>
      </c>
      <c r="B56" t="s">
        <v>269</v>
      </c>
      <c r="C56" t="s">
        <v>129</v>
      </c>
      <c r="D56" t="s">
        <v>270</v>
      </c>
      <c r="E56" t="s">
        <v>130</v>
      </c>
      <c r="F56" t="n">
        <v>15.1879397162144</v>
      </c>
      <c r="G56" t="n">
        <v>18.1850264868807</v>
      </c>
      <c r="H56" t="n">
        <v>20.9218482428392</v>
      </c>
      <c r="I56" t="n">
        <v>23.5540002503855</v>
      </c>
      <c r="J56" t="n">
        <v>25.9616135764717</v>
      </c>
      <c r="K56" t="n">
        <v>28.640791721718</v>
      </c>
      <c r="L56" t="n">
        <v>32.1378225861804</v>
      </c>
      <c r="M56" t="n">
        <v>34.9324158545439</v>
      </c>
      <c r="N56" t="n">
        <v>38.3598328747103</v>
      </c>
      <c r="O56" t="n">
        <v>41.8515612517673</v>
      </c>
      <c r="P56" t="n">
        <v>43.8954428074911</v>
      </c>
      <c r="Q56" t="n">
        <v>45.961949043558</v>
      </c>
      <c r="R56" t="n">
        <v>48.99665156144</v>
      </c>
      <c r="S56" t="n">
        <v>51.928075159133</v>
      </c>
      <c r="T56" t="n">
        <v>57.68395818882</v>
      </c>
      <c r="U56" t="n">
        <v>60.2208264798868</v>
      </c>
      <c r="V56" t="n">
        <v>62.4493080105539</v>
      </c>
      <c r="W56" t="n">
        <v>66.6358537989709</v>
      </c>
      <c r="X56" t="n">
        <v>68.4325381995775</v>
      </c>
      <c r="Y56" t="n">
        <v>70.7640167435078</v>
      </c>
      <c r="Z56" t="n">
        <v>73.6717745224228</v>
      </c>
      <c r="AA56" t="n">
        <v>75.8125019567716</v>
      </c>
      <c r="AB56" t="n">
        <v>80.2077894924246</v>
      </c>
      <c r="AC56" t="n">
        <v>85.1804718140024</v>
      </c>
      <c r="AD56" t="n">
        <v>92.2478922588416</v>
      </c>
      <c r="AE56" t="n">
        <v>100</v>
      </c>
      <c r="AF56" t="n">
        <v>106.106408706167</v>
      </c>
    </row>
    <row r="57">
      <c r="A57" t="s">
        <v>27</v>
      </c>
      <c r="B57" t="s">
        <v>271</v>
      </c>
      <c r="C57" t="s">
        <v>129</v>
      </c>
      <c r="D57" t="s">
        <v>272</v>
      </c>
      <c r="E57" t="s">
        <v>130</v>
      </c>
      <c r="F57" t="n">
        <v>21.8335353698509</v>
      </c>
      <c r="G57" t="n">
        <v>26.4873557866966</v>
      </c>
      <c r="H57" t="n">
        <v>32.2757347790603</v>
      </c>
      <c r="I57" t="n">
        <v>36.6952638263476</v>
      </c>
      <c r="J57" t="n">
        <v>39.5212997430083</v>
      </c>
      <c r="K57" t="n">
        <v>43.0691348629861</v>
      </c>
      <c r="L57" t="n">
        <v>48.3941747819663</v>
      </c>
      <c r="M57" t="n">
        <v>52.4680946853459</v>
      </c>
      <c r="N57" t="n">
        <v>54.6626124006333</v>
      </c>
      <c r="O57" t="n">
        <v>57.2544115350238</v>
      </c>
      <c r="P57" t="n">
        <v>59.1950619640486</v>
      </c>
      <c r="Q57" t="n">
        <v>61.8632979689537</v>
      </c>
      <c r="R57" t="n">
        <v>64.6545478251939</v>
      </c>
      <c r="S57" t="n">
        <v>67.6000029040027</v>
      </c>
      <c r="T57" t="n">
        <v>69.9501711721244</v>
      </c>
      <c r="U57" t="n">
        <v>71.4576605588289</v>
      </c>
      <c r="V57" t="n">
        <v>72.9488595691076</v>
      </c>
      <c r="W57" t="n">
        <v>74.2234033864778</v>
      </c>
      <c r="X57" t="n">
        <v>76.1057209651277</v>
      </c>
      <c r="Y57" t="n">
        <v>78.7778658277793</v>
      </c>
      <c r="Z57" t="n">
        <v>80.7809235944886</v>
      </c>
      <c r="AA57" t="n">
        <v>82.3298846650428</v>
      </c>
      <c r="AB57" t="n">
        <v>85.6956518998008</v>
      </c>
      <c r="AC57" t="n">
        <v>89.3025420737411</v>
      </c>
      <c r="AD57" t="n">
        <v>93.7344473130171</v>
      </c>
      <c r="AE57" t="n">
        <v>100</v>
      </c>
      <c r="AF57" t="n">
        <v>106.137763742394</v>
      </c>
    </row>
    <row r="58">
      <c r="A58" t="s">
        <v>27</v>
      </c>
      <c r="B58" t="s">
        <v>273</v>
      </c>
      <c r="C58" t="s">
        <v>129</v>
      </c>
      <c r="D58" t="s">
        <v>274</v>
      </c>
      <c r="E58" t="s">
        <v>130</v>
      </c>
      <c r="F58" t="n">
        <v>21.8349209076256</v>
      </c>
      <c r="G58" t="n">
        <v>26.4890881475916</v>
      </c>
      <c r="H58" t="n">
        <v>32.2781624527474</v>
      </c>
      <c r="I58" t="n">
        <v>36.6980868306738</v>
      </c>
      <c r="J58" t="n">
        <v>39.5241784363197</v>
      </c>
      <c r="K58" t="n">
        <v>43.0721670049385</v>
      </c>
      <c r="L58" t="n">
        <v>48.3975965245046</v>
      </c>
      <c r="M58" t="n">
        <v>52.4717743954594</v>
      </c>
      <c r="N58" t="n">
        <v>54.665869115421</v>
      </c>
      <c r="O58" t="n">
        <v>57.2573909553886</v>
      </c>
      <c r="P58" t="n">
        <v>59.1980036103488</v>
      </c>
      <c r="Q58" t="n">
        <v>61.8663505227329</v>
      </c>
      <c r="R58" t="n">
        <v>64.6575345525232</v>
      </c>
      <c r="S58" t="n">
        <v>67.6030047102681</v>
      </c>
      <c r="T58" t="n">
        <v>69.9527863911201</v>
      </c>
      <c r="U58" t="n">
        <v>71.4600988106362</v>
      </c>
      <c r="V58" t="n">
        <v>72.9511793750578</v>
      </c>
      <c r="W58" t="n">
        <v>74.2252223198969</v>
      </c>
      <c r="X58" t="n">
        <v>76.1075680173072</v>
      </c>
      <c r="Y58" t="n">
        <v>78.7797888424436</v>
      </c>
      <c r="Z58" t="n">
        <v>80.7826593714912</v>
      </c>
      <c r="AA58" t="n">
        <v>82.3314892397155</v>
      </c>
      <c r="AB58" t="n">
        <v>85.6970539703449</v>
      </c>
      <c r="AC58" t="n">
        <v>89.3034623258759</v>
      </c>
      <c r="AD58" t="n">
        <v>93.7347765205584</v>
      </c>
      <c r="AE58" t="n">
        <v>100</v>
      </c>
      <c r="AF58" t="n">
        <v>106.137769590698</v>
      </c>
    </row>
    <row r="59">
      <c r="A59" t="s">
        <v>27</v>
      </c>
      <c r="B59" t="s">
        <v>275</v>
      </c>
      <c r="C59" t="s">
        <v>129</v>
      </c>
      <c r="D59" t="s">
        <v>276</v>
      </c>
      <c r="E59" t="s">
        <v>130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>
      <c r="A2" t="s">
        <v>29</v>
      </c>
      <c r="B2" t="s">
        <v>84</v>
      </c>
      <c r="C2" t="s">
        <v>129</v>
      </c>
      <c r="D2" t="s">
        <v>86</v>
      </c>
      <c r="E2" t="s">
        <v>130</v>
      </c>
      <c r="F2" t="n">
        <v>29.0240606527249</v>
      </c>
      <c r="G2" t="n">
        <v>35.681027117144</v>
      </c>
      <c r="H2" t="n">
        <v>40.3567028675742</v>
      </c>
      <c r="I2" t="n">
        <v>42.8661641474635</v>
      </c>
      <c r="J2" t="n">
        <v>43.8867623307099</v>
      </c>
      <c r="K2" t="n">
        <v>51.0152178393808</v>
      </c>
      <c r="L2" t="n">
        <v>54.16754686976</v>
      </c>
      <c r="M2" t="n">
        <v>57.7249596827893</v>
      </c>
      <c r="N2" t="n">
        <v>58.925914551077</v>
      </c>
      <c r="O2" t="n">
        <v>56.4125553297337</v>
      </c>
      <c r="P2" t="n">
        <v>56.744865742338</v>
      </c>
      <c r="Q2" t="n">
        <v>61.4929565562604</v>
      </c>
      <c r="R2" t="n">
        <v>71.1524608224883</v>
      </c>
      <c r="S2" t="n">
        <v>64.6497072239712</v>
      </c>
      <c r="T2" t="n">
        <v>61.1318600608331</v>
      </c>
      <c r="U2" t="n">
        <v>69.9538326591646</v>
      </c>
      <c r="V2" t="n">
        <v>79.9752557225863</v>
      </c>
      <c r="W2" t="n">
        <v>91.1080234170116</v>
      </c>
      <c r="X2" t="n">
        <v>87.8594135427157</v>
      </c>
      <c r="Y2" t="n">
        <v>84.1996994350001</v>
      </c>
      <c r="Z2" t="n">
        <v>85.9054470925297</v>
      </c>
      <c r="AA2" t="n">
        <v>83.1096245229774</v>
      </c>
      <c r="AB2" t="n">
        <v>88.2856954611656</v>
      </c>
      <c r="AC2" t="n">
        <v>89.8356642149722</v>
      </c>
      <c r="AD2" t="n">
        <v>94.1536952556239</v>
      </c>
      <c r="AE2" t="n">
        <v>100</v>
      </c>
      <c r="AF2" t="n">
        <v>116.024217112195</v>
      </c>
    </row>
    <row r="3">
      <c r="A3" t="s">
        <v>29</v>
      </c>
      <c r="B3" t="s">
        <v>163</v>
      </c>
      <c r="C3" t="s">
        <v>129</v>
      </c>
      <c r="D3" t="s">
        <v>164</v>
      </c>
      <c r="E3" t="s">
        <v>130</v>
      </c>
      <c r="F3" t="n">
        <v>36.7748820158562</v>
      </c>
      <c r="G3" t="n">
        <v>43.0114129956342</v>
      </c>
      <c r="H3" t="n">
        <v>51.5470569668363</v>
      </c>
      <c r="I3" t="n">
        <v>58.2537696196685</v>
      </c>
      <c r="J3" t="n">
        <v>67.2438688184591</v>
      </c>
      <c r="K3" t="n">
        <v>73.4388295712166</v>
      </c>
      <c r="L3" t="n">
        <v>76.3970191997603</v>
      </c>
      <c r="M3" t="n">
        <v>78.6932874666687</v>
      </c>
      <c r="N3" t="n">
        <v>80.2379260589829</v>
      </c>
      <c r="O3" t="n">
        <v>83.0212511448931</v>
      </c>
      <c r="P3" t="n">
        <v>86.1852034262955</v>
      </c>
      <c r="Q3" t="n">
        <v>89.4797867911859</v>
      </c>
      <c r="R3" t="n">
        <v>93.2555203161319</v>
      </c>
      <c r="S3" t="n">
        <v>97.1291435811202</v>
      </c>
      <c r="T3" t="n">
        <v>78.9698478772702</v>
      </c>
      <c r="U3" t="n">
        <v>88.4626751274063</v>
      </c>
      <c r="V3" t="n">
        <v>94.4669133477577</v>
      </c>
      <c r="W3" t="n">
        <v>112.194655829899</v>
      </c>
      <c r="X3" t="n">
        <v>102.170984199609</v>
      </c>
      <c r="Y3" t="n">
        <v>99.1474705909288</v>
      </c>
      <c r="Z3" t="n">
        <v>100.188496570973</v>
      </c>
      <c r="AA3" t="n">
        <v>96.7889881165235</v>
      </c>
      <c r="AB3" t="n">
        <v>104.51935783123</v>
      </c>
      <c r="AC3" t="n">
        <v>105.770913424971</v>
      </c>
      <c r="AD3" t="n">
        <v>101.82227853843</v>
      </c>
      <c r="AE3" t="n">
        <v>100</v>
      </c>
      <c r="AF3" t="n">
        <v>127.158789064373</v>
      </c>
    </row>
    <row r="4">
      <c r="A4" t="s">
        <v>29</v>
      </c>
      <c r="B4" t="s">
        <v>165</v>
      </c>
      <c r="C4" t="s">
        <v>129</v>
      </c>
      <c r="D4" t="s">
        <v>166</v>
      </c>
      <c r="E4" t="s">
        <v>130</v>
      </c>
      <c r="F4" t="n">
        <v>40.1420872010037</v>
      </c>
      <c r="G4" t="n">
        <v>47.0821507677978</v>
      </c>
      <c r="H4" t="n">
        <v>54.5128206821403</v>
      </c>
      <c r="I4" t="n">
        <v>59.6496547713066</v>
      </c>
      <c r="J4" t="n">
        <v>63.1002917910034</v>
      </c>
      <c r="K4" t="n">
        <v>68.3065786654992</v>
      </c>
      <c r="L4" t="n">
        <v>69.7787452211261</v>
      </c>
      <c r="M4" t="n">
        <v>67.0699856095732</v>
      </c>
      <c r="N4" t="n">
        <v>67.1700342702705</v>
      </c>
      <c r="O4" t="n">
        <v>67.8498551154089</v>
      </c>
      <c r="P4" t="n">
        <v>69.8427451042715</v>
      </c>
      <c r="Q4" t="n">
        <v>74.003230839036</v>
      </c>
      <c r="R4" t="n">
        <v>74.4782622892044</v>
      </c>
      <c r="S4" t="n">
        <v>75.4924212523408</v>
      </c>
      <c r="T4" t="n">
        <v>78.7245753038904</v>
      </c>
      <c r="U4" t="n">
        <v>80.6123116232833</v>
      </c>
      <c r="V4" t="n">
        <v>84.2766786567031</v>
      </c>
      <c r="W4" t="n">
        <v>87.4634120781712</v>
      </c>
      <c r="X4" t="n">
        <v>88.2617641366385</v>
      </c>
      <c r="Y4" t="n">
        <v>88.7538925354835</v>
      </c>
      <c r="Z4" t="n">
        <v>88.5934127791846</v>
      </c>
      <c r="AA4" t="n">
        <v>88.7333570209554</v>
      </c>
      <c r="AB4" t="n">
        <v>90.543115162057</v>
      </c>
      <c r="AC4" t="n">
        <v>93.9283854926105</v>
      </c>
      <c r="AD4" t="n">
        <v>96.2881873212941</v>
      </c>
      <c r="AE4" t="n">
        <v>100</v>
      </c>
      <c r="AF4" t="n">
        <v>108.40373391673</v>
      </c>
    </row>
    <row r="5">
      <c r="A5" t="s">
        <v>29</v>
      </c>
      <c r="B5" t="s">
        <v>167</v>
      </c>
      <c r="C5" t="s">
        <v>129</v>
      </c>
      <c r="D5" t="s">
        <v>168</v>
      </c>
      <c r="E5" t="s">
        <v>130</v>
      </c>
      <c r="F5" t="n">
        <v>26.8628972797239</v>
      </c>
      <c r="G5" t="n">
        <v>32.5429937767373</v>
      </c>
      <c r="H5" t="n">
        <v>39.4985191636383</v>
      </c>
      <c r="I5" t="n">
        <v>44.0030896142326</v>
      </c>
      <c r="J5" t="n">
        <v>45.6152344035112</v>
      </c>
      <c r="K5" t="n">
        <v>50.6132755901498</v>
      </c>
      <c r="L5" t="n">
        <v>57.0507599526758</v>
      </c>
      <c r="M5" t="n">
        <v>56.6269779546374</v>
      </c>
      <c r="N5" t="n">
        <v>57.1769312526136</v>
      </c>
      <c r="O5" t="n">
        <v>59.3601859951377</v>
      </c>
      <c r="P5" t="n">
        <v>60.020771494948</v>
      </c>
      <c r="Q5" t="n">
        <v>62.2477027004959</v>
      </c>
      <c r="R5" t="n">
        <v>67.2294367178995</v>
      </c>
      <c r="S5" t="n">
        <v>74.447773762121</v>
      </c>
      <c r="T5" t="n">
        <v>75.4493443534114</v>
      </c>
      <c r="U5" t="n">
        <v>75.0899819474457</v>
      </c>
      <c r="V5" t="n">
        <v>81.4921028471394</v>
      </c>
      <c r="W5" t="n">
        <v>85.1561013251191</v>
      </c>
      <c r="X5" t="n">
        <v>87.9727994595884</v>
      </c>
      <c r="Y5" t="n">
        <v>87.6221369770989</v>
      </c>
      <c r="Z5" t="n">
        <v>86.8088315514625</v>
      </c>
      <c r="AA5" t="n">
        <v>87.5773540934136</v>
      </c>
      <c r="AB5" t="n">
        <v>89.5558984942578</v>
      </c>
      <c r="AC5" t="n">
        <v>90.8124566235599</v>
      </c>
      <c r="AD5" t="n">
        <v>95.4180066285992</v>
      </c>
      <c r="AE5" t="n">
        <v>100</v>
      </c>
      <c r="AF5" t="n">
        <v>107.318636004344</v>
      </c>
    </row>
    <row r="6">
      <c r="A6" t="s">
        <v>29</v>
      </c>
      <c r="B6" t="s">
        <v>169</v>
      </c>
      <c r="C6" t="s">
        <v>129</v>
      </c>
      <c r="D6" t="s">
        <v>170</v>
      </c>
      <c r="E6" t="s">
        <v>130</v>
      </c>
      <c r="F6" t="n">
        <v>38.0728417964824</v>
      </c>
      <c r="G6" t="n">
        <v>43.9988206993777</v>
      </c>
      <c r="H6" t="n">
        <v>51.3744715883292</v>
      </c>
      <c r="I6" t="n">
        <v>59.5828485905093</v>
      </c>
      <c r="J6" t="n">
        <v>67.1862309525131</v>
      </c>
      <c r="K6" t="n">
        <v>69.7494867397742</v>
      </c>
      <c r="L6" t="n">
        <v>69.7724971569314</v>
      </c>
      <c r="M6" t="n">
        <v>67.3313523390634</v>
      </c>
      <c r="N6" t="n">
        <v>67.9940849979477</v>
      </c>
      <c r="O6" t="n">
        <v>68.4037521183394</v>
      </c>
      <c r="P6" t="n">
        <v>70.3217122238284</v>
      </c>
      <c r="Q6" t="n">
        <v>74.2943323030824</v>
      </c>
      <c r="R6" t="n">
        <v>75.6818808558143</v>
      </c>
      <c r="S6" t="n">
        <v>74.5792493029669</v>
      </c>
      <c r="T6" t="n">
        <v>78.4236769575458</v>
      </c>
      <c r="U6" t="n">
        <v>77.7040696923515</v>
      </c>
      <c r="V6" t="n">
        <v>79.3013653846678</v>
      </c>
      <c r="W6" t="n">
        <v>81.9950224376993</v>
      </c>
      <c r="X6" t="n">
        <v>83.5354781171745</v>
      </c>
      <c r="Y6" t="n">
        <v>86.0260407599654</v>
      </c>
      <c r="Z6" t="n">
        <v>87.5210636731264</v>
      </c>
      <c r="AA6" t="n">
        <v>88.1514682131657</v>
      </c>
      <c r="AB6" t="n">
        <v>88.4479562949452</v>
      </c>
      <c r="AC6" t="n">
        <v>91.4408882578585</v>
      </c>
      <c r="AD6" t="n">
        <v>95.2052779559495</v>
      </c>
      <c r="AE6" t="n">
        <v>100</v>
      </c>
      <c r="AF6" t="n">
        <v>103.025527472454</v>
      </c>
    </row>
    <row r="7">
      <c r="A7" t="s">
        <v>29</v>
      </c>
      <c r="B7" t="s">
        <v>171</v>
      </c>
      <c r="C7" t="s">
        <v>129</v>
      </c>
      <c r="D7" t="s">
        <v>172</v>
      </c>
      <c r="E7" t="s">
        <v>130</v>
      </c>
      <c r="F7" t="n">
        <v>41.1477596327942</v>
      </c>
      <c r="G7" t="n">
        <v>47.1810390443425</v>
      </c>
      <c r="H7" t="n">
        <v>52.2932307841602</v>
      </c>
      <c r="I7" t="n">
        <v>57.2212459856611</v>
      </c>
      <c r="J7" t="n">
        <v>61.905055521554</v>
      </c>
      <c r="K7" t="n">
        <v>66.015702620843</v>
      </c>
      <c r="L7" t="n">
        <v>67.689088110589</v>
      </c>
      <c r="M7" t="n">
        <v>65.9638110502618</v>
      </c>
      <c r="N7" t="n">
        <v>66.8623908585113</v>
      </c>
      <c r="O7" t="n">
        <v>66.6435185570119</v>
      </c>
      <c r="P7" t="n">
        <v>67.9588976005515</v>
      </c>
      <c r="Q7" t="n">
        <v>71.5435772103619</v>
      </c>
      <c r="R7" t="n">
        <v>76.2362465682891</v>
      </c>
      <c r="S7" t="n">
        <v>77.2764773079113</v>
      </c>
      <c r="T7" t="n">
        <v>79.0122690982316</v>
      </c>
      <c r="U7" t="n">
        <v>78.0743023756529</v>
      </c>
      <c r="V7" t="n">
        <v>81.3449100813722</v>
      </c>
      <c r="W7" t="n">
        <v>83.2097909866057</v>
      </c>
      <c r="X7" t="n">
        <v>84.5718500363963</v>
      </c>
      <c r="Y7" t="n">
        <v>86.7576470555607</v>
      </c>
      <c r="Z7" t="n">
        <v>88.4381073590381</v>
      </c>
      <c r="AA7" t="n">
        <v>89.6408176175392</v>
      </c>
      <c r="AB7" t="n">
        <v>90.9884745211038</v>
      </c>
      <c r="AC7" t="n">
        <v>94.5841165490819</v>
      </c>
      <c r="AD7" t="n">
        <v>97.2406827044421</v>
      </c>
      <c r="AE7" t="n">
        <v>100</v>
      </c>
      <c r="AF7" t="n">
        <v>111.737270267553</v>
      </c>
    </row>
    <row r="8">
      <c r="A8" t="s">
        <v>29</v>
      </c>
      <c r="B8" t="s">
        <v>173</v>
      </c>
      <c r="C8" t="s">
        <v>129</v>
      </c>
      <c r="D8" t="s">
        <v>174</v>
      </c>
      <c r="E8" t="s">
        <v>130</v>
      </c>
      <c r="F8" t="n">
        <v>13.1594177261721</v>
      </c>
      <c r="G8" t="n">
        <v>17.6091232924146</v>
      </c>
      <c r="H8" t="n">
        <v>21.7431764962669</v>
      </c>
      <c r="I8" t="n">
        <v>21.2189199675163</v>
      </c>
      <c r="J8" t="n">
        <v>24.9402294176557</v>
      </c>
      <c r="K8" t="n">
        <v>41.8421332287288</v>
      </c>
      <c r="L8" t="n">
        <v>43.0778986766031</v>
      </c>
      <c r="M8" t="n">
        <v>41.1506403376938</v>
      </c>
      <c r="N8" t="n">
        <v>42.6325761861006</v>
      </c>
      <c r="O8" t="n">
        <v>49.8249047114245</v>
      </c>
      <c r="P8" t="n">
        <v>61.5316990725017</v>
      </c>
      <c r="Q8" t="n">
        <v>76.0983333901444</v>
      </c>
      <c r="R8" t="n">
        <v>75.2888490821229</v>
      </c>
      <c r="S8" t="n">
        <v>86.5848600861838</v>
      </c>
      <c r="T8" t="n">
        <v>76.8361315851066</v>
      </c>
      <c r="U8" t="n">
        <v>92.4599121679442</v>
      </c>
      <c r="V8" t="n">
        <v>112.96918925299</v>
      </c>
      <c r="W8" t="n">
        <v>126.385207209042</v>
      </c>
      <c r="X8" t="n">
        <v>121.698229187941</v>
      </c>
      <c r="Y8" t="n">
        <v>117.360482363198</v>
      </c>
      <c r="Z8" t="n">
        <v>94.3587301625606</v>
      </c>
      <c r="AA8" t="n">
        <v>86.0003978469978</v>
      </c>
      <c r="AB8" t="n">
        <v>97.8312429988579</v>
      </c>
      <c r="AC8" t="n">
        <v>113.72265523071</v>
      </c>
      <c r="AD8" t="n">
        <v>114.875886996248</v>
      </c>
      <c r="AE8" t="n">
        <v>100</v>
      </c>
      <c r="AF8" t="n">
        <v>145.167203828877</v>
      </c>
    </row>
    <row r="9">
      <c r="A9" t="s">
        <v>29</v>
      </c>
      <c r="B9" t="s">
        <v>175</v>
      </c>
      <c r="C9" t="s">
        <v>129</v>
      </c>
      <c r="D9" t="s">
        <v>176</v>
      </c>
      <c r="E9" t="s">
        <v>130</v>
      </c>
      <c r="F9" t="n">
        <v>17.7986224260331</v>
      </c>
      <c r="G9" t="n">
        <v>21.6475956288374</v>
      </c>
      <c r="H9" t="n">
        <v>26.2347811159704</v>
      </c>
      <c r="I9" t="n">
        <v>30.2237472161302</v>
      </c>
      <c r="J9" t="n">
        <v>34.5924674099963</v>
      </c>
      <c r="K9" t="n">
        <v>42.2048302692337</v>
      </c>
      <c r="L9" t="n">
        <v>44.29239776587</v>
      </c>
      <c r="M9" t="n">
        <v>42.9335467940664</v>
      </c>
      <c r="N9" t="n">
        <v>44.254105535629</v>
      </c>
      <c r="O9" t="n">
        <v>46.3802208918403</v>
      </c>
      <c r="P9" t="n">
        <v>50.5301863649179</v>
      </c>
      <c r="Q9" t="n">
        <v>56.7338698828873</v>
      </c>
      <c r="R9" t="n">
        <v>58.8329655477149</v>
      </c>
      <c r="S9" t="n">
        <v>60.9543632152103</v>
      </c>
      <c r="T9" t="n">
        <v>60.9835186694326</v>
      </c>
      <c r="U9" t="n">
        <v>70.5875034888958</v>
      </c>
      <c r="V9" t="n">
        <v>79.4367084865748</v>
      </c>
      <c r="W9" t="n">
        <v>87.0960754952674</v>
      </c>
      <c r="X9" t="n">
        <v>88.9674013531829</v>
      </c>
      <c r="Y9" t="n">
        <v>90.1335099485856</v>
      </c>
      <c r="Z9" t="n">
        <v>88.2963835950971</v>
      </c>
      <c r="AA9" t="n">
        <v>86.5714297962469</v>
      </c>
      <c r="AB9" t="n">
        <v>94.0581232981508</v>
      </c>
      <c r="AC9" t="n">
        <v>98.7588116442882</v>
      </c>
      <c r="AD9" t="n">
        <v>98.5354851937553</v>
      </c>
      <c r="AE9" t="n">
        <v>100</v>
      </c>
      <c r="AF9" t="n">
        <v>135.277911824607</v>
      </c>
    </row>
    <row r="10">
      <c r="A10" t="s">
        <v>29</v>
      </c>
      <c r="B10" t="s">
        <v>177</v>
      </c>
      <c r="C10" t="s">
        <v>129</v>
      </c>
      <c r="D10" t="s">
        <v>178</v>
      </c>
      <c r="E10" t="s">
        <v>130</v>
      </c>
      <c r="F10" t="n">
        <v>19.3284715888711</v>
      </c>
      <c r="G10" t="n">
        <v>23.50001086182</v>
      </c>
      <c r="H10" t="n">
        <v>28.463738923293</v>
      </c>
      <c r="I10" t="n">
        <v>32.8297780475897</v>
      </c>
      <c r="J10" t="n">
        <v>37.5810257242399</v>
      </c>
      <c r="K10" t="n">
        <v>45.7662265318628</v>
      </c>
      <c r="L10" t="n">
        <v>48.1462402401545</v>
      </c>
      <c r="M10" t="n">
        <v>46.8801883819727</v>
      </c>
      <c r="N10" t="n">
        <v>47.9843063025013</v>
      </c>
      <c r="O10" t="n">
        <v>50.2947410452619</v>
      </c>
      <c r="P10" t="n">
        <v>54.3854718503401</v>
      </c>
      <c r="Q10" t="n">
        <v>60.508857876514</v>
      </c>
      <c r="R10" t="n">
        <v>62.7825527680986</v>
      </c>
      <c r="S10" t="n">
        <v>64.8587031626345</v>
      </c>
      <c r="T10" t="n">
        <v>67.1434203675118</v>
      </c>
      <c r="U10" t="n">
        <v>73.463063817178</v>
      </c>
      <c r="V10" t="n">
        <v>79.2327874342152</v>
      </c>
      <c r="W10" t="n">
        <v>85.8011214441538</v>
      </c>
      <c r="X10" t="n">
        <v>88.5212391672702</v>
      </c>
      <c r="Y10" t="n">
        <v>89.9915845025269</v>
      </c>
      <c r="Z10" t="n">
        <v>89.7794508282775</v>
      </c>
      <c r="AA10" t="n">
        <v>88.5675882078195</v>
      </c>
      <c r="AB10" t="n">
        <v>94.5400445386847</v>
      </c>
      <c r="AC10" t="n">
        <v>97.5303251833532</v>
      </c>
      <c r="AD10" t="n">
        <v>98.2840751540474</v>
      </c>
      <c r="AE10" t="n">
        <v>100</v>
      </c>
      <c r="AF10" t="n">
        <v>123.928966652288</v>
      </c>
    </row>
    <row r="11">
      <c r="A11" t="s">
        <v>29</v>
      </c>
      <c r="B11" t="s">
        <v>179</v>
      </c>
      <c r="C11" t="s">
        <v>129</v>
      </c>
      <c r="D11" t="s">
        <v>180</v>
      </c>
      <c r="E11" t="s">
        <v>130</v>
      </c>
      <c r="F11" t="n">
        <v>21.4600215978449</v>
      </c>
      <c r="G11" t="n">
        <v>26.0750589407024</v>
      </c>
      <c r="H11" t="n">
        <v>31.5529734476621</v>
      </c>
      <c r="I11" t="n">
        <v>36.4591315726182</v>
      </c>
      <c r="J11" t="n">
        <v>41.7462859864</v>
      </c>
      <c r="K11" t="n">
        <v>50.6612270837997</v>
      </c>
      <c r="L11" t="n">
        <v>53.505377060959</v>
      </c>
      <c r="M11" t="n">
        <v>52.4576542017788</v>
      </c>
      <c r="N11" t="n">
        <v>53.1967866082104</v>
      </c>
      <c r="O11" t="n">
        <v>55.7659963719478</v>
      </c>
      <c r="P11" t="n">
        <v>59.6392614102365</v>
      </c>
      <c r="Q11" t="n">
        <v>65.4803045811964</v>
      </c>
      <c r="R11" t="n">
        <v>68.0031229456573</v>
      </c>
      <c r="S11" t="n">
        <v>69.9390739496704</v>
      </c>
      <c r="T11" t="n">
        <v>75.3443002127604</v>
      </c>
      <c r="U11" t="n">
        <v>77.0163233540878</v>
      </c>
      <c r="V11" t="n">
        <v>78.5524683948995</v>
      </c>
      <c r="W11" t="n">
        <v>83.5502666180384</v>
      </c>
      <c r="X11" t="n">
        <v>87.67641430594</v>
      </c>
      <c r="Y11" t="n">
        <v>89.67057004706</v>
      </c>
      <c r="Z11" t="n">
        <v>92.2455045009669</v>
      </c>
      <c r="AA11" t="n">
        <v>91.9036401448274</v>
      </c>
      <c r="AB11" t="n">
        <v>95.5087473308497</v>
      </c>
      <c r="AC11" t="n">
        <v>95.7541636669718</v>
      </c>
      <c r="AD11" t="n">
        <v>97.9316533952508</v>
      </c>
      <c r="AE11" t="n">
        <v>100</v>
      </c>
      <c r="AF11" t="n">
        <v>105.987298289734</v>
      </c>
    </row>
    <row r="12">
      <c r="A12" t="s">
        <v>29</v>
      </c>
      <c r="B12" t="s">
        <v>181</v>
      </c>
      <c r="C12" t="s">
        <v>129</v>
      </c>
      <c r="D12" t="s">
        <v>182</v>
      </c>
      <c r="E12" t="s">
        <v>130</v>
      </c>
      <c r="F12" t="n">
        <v>35.078087435454</v>
      </c>
      <c r="G12" t="n">
        <v>41.8218897177442</v>
      </c>
      <c r="H12" t="n">
        <v>47.8528231169346</v>
      </c>
      <c r="I12" t="n">
        <v>52.4989861912246</v>
      </c>
      <c r="J12" t="n">
        <v>57.1415711213938</v>
      </c>
      <c r="K12" t="n">
        <v>61.6812086100155</v>
      </c>
      <c r="L12" t="n">
        <v>63.428401320134</v>
      </c>
      <c r="M12" t="n">
        <v>62.4474528826736</v>
      </c>
      <c r="N12" t="n">
        <v>63.2922623163415</v>
      </c>
      <c r="O12" t="n">
        <v>63.4643591914864</v>
      </c>
      <c r="P12" t="n">
        <v>65.9324370106674</v>
      </c>
      <c r="Q12" t="n">
        <v>70.060855094146</v>
      </c>
      <c r="R12" t="n">
        <v>73.5778648428597</v>
      </c>
      <c r="S12" t="n">
        <v>71.8958089453807</v>
      </c>
      <c r="T12" t="n">
        <v>76.1028988644373</v>
      </c>
      <c r="U12" t="n">
        <v>77.2170631253185</v>
      </c>
      <c r="V12" t="n">
        <v>79.854962870291</v>
      </c>
      <c r="W12" t="n">
        <v>83.7236215403428</v>
      </c>
      <c r="X12" t="n">
        <v>85.8100843292063</v>
      </c>
      <c r="Y12" t="n">
        <v>87.4827976577098</v>
      </c>
      <c r="Z12" t="n">
        <v>88.3535864038536</v>
      </c>
      <c r="AA12" t="n">
        <v>88.9304560235119</v>
      </c>
      <c r="AB12" t="n">
        <v>89.5368711100879</v>
      </c>
      <c r="AC12" t="n">
        <v>92.4127596028152</v>
      </c>
      <c r="AD12" t="n">
        <v>95.8316537811652</v>
      </c>
      <c r="AE12" t="n">
        <v>100</v>
      </c>
      <c r="AF12" t="n">
        <v>107.133794760359</v>
      </c>
    </row>
    <row r="13">
      <c r="A13" t="s">
        <v>29</v>
      </c>
      <c r="B13" t="s">
        <v>183</v>
      </c>
      <c r="C13" t="s">
        <v>129</v>
      </c>
      <c r="D13" t="s">
        <v>184</v>
      </c>
      <c r="E13" t="s">
        <v>130</v>
      </c>
      <c r="F13" t="n">
        <v>31.7163563116196</v>
      </c>
      <c r="G13" t="n">
        <v>35.8312634686889</v>
      </c>
      <c r="H13" t="n">
        <v>40.7346442080511</v>
      </c>
      <c r="I13" t="n">
        <v>46.8149162865806</v>
      </c>
      <c r="J13" t="n">
        <v>48.5860004270816</v>
      </c>
      <c r="K13" t="n">
        <v>51.8357525487619</v>
      </c>
      <c r="L13" t="n">
        <v>52.9693166595779</v>
      </c>
      <c r="M13" t="n">
        <v>50.7322191470379</v>
      </c>
      <c r="N13" t="n">
        <v>51.9173875238316</v>
      </c>
      <c r="O13" t="n">
        <v>56.2555644675226</v>
      </c>
      <c r="P13" t="n">
        <v>58.738450386199</v>
      </c>
      <c r="Q13" t="n">
        <v>62.8479876477953</v>
      </c>
      <c r="R13" t="n">
        <v>64.8898989200945</v>
      </c>
      <c r="S13" t="n">
        <v>65.0343157676571</v>
      </c>
      <c r="T13" t="n">
        <v>68.2238474319203</v>
      </c>
      <c r="U13" t="n">
        <v>73.3001696566843</v>
      </c>
      <c r="V13" t="n">
        <v>78.5154296458746</v>
      </c>
      <c r="W13" t="n">
        <v>80.2542103651796</v>
      </c>
      <c r="X13" t="n">
        <v>79.9944150148269</v>
      </c>
      <c r="Y13" t="n">
        <v>82.1243717739554</v>
      </c>
      <c r="Z13" t="n">
        <v>83.1465500996984</v>
      </c>
      <c r="AA13" t="n">
        <v>83.5262920937232</v>
      </c>
      <c r="AB13" t="n">
        <v>87.3911111353699</v>
      </c>
      <c r="AC13" t="n">
        <v>92.6744167759057</v>
      </c>
      <c r="AD13" t="n">
        <v>95.0318590964864</v>
      </c>
      <c r="AE13" t="n">
        <v>100</v>
      </c>
      <c r="AF13" t="n">
        <v>114.239459956498</v>
      </c>
    </row>
    <row r="14">
      <c r="A14" t="s">
        <v>29</v>
      </c>
      <c r="B14" t="s">
        <v>185</v>
      </c>
      <c r="C14" t="s">
        <v>129</v>
      </c>
      <c r="D14" t="s">
        <v>186</v>
      </c>
      <c r="E14" t="s">
        <v>130</v>
      </c>
      <c r="F14" t="n">
        <v>130.796061721486</v>
      </c>
      <c r="G14" t="n">
        <v>141.779278604933</v>
      </c>
      <c r="H14" t="n">
        <v>149.763263435386</v>
      </c>
      <c r="I14" t="n">
        <v>145.775715893566</v>
      </c>
      <c r="J14" t="n">
        <v>140.351501020475</v>
      </c>
      <c r="K14" t="n">
        <v>139.128369748033</v>
      </c>
      <c r="L14" t="n">
        <v>135.665256485943</v>
      </c>
      <c r="M14" t="n">
        <v>126.090198577625</v>
      </c>
      <c r="N14" t="n">
        <v>116.226589308679</v>
      </c>
      <c r="O14" t="n">
        <v>108.575318618595</v>
      </c>
      <c r="P14" t="n">
        <v>104.769526736912</v>
      </c>
      <c r="Q14" t="n">
        <v>103.238149559182</v>
      </c>
      <c r="R14" t="n">
        <v>97.240151454457</v>
      </c>
      <c r="S14" t="n">
        <v>92.5771431406628</v>
      </c>
      <c r="T14" t="n">
        <v>99.6098892477078</v>
      </c>
      <c r="U14" t="n">
        <v>98.8446366099312</v>
      </c>
      <c r="V14" t="n">
        <v>97.7343567399052</v>
      </c>
      <c r="W14" t="n">
        <v>98.6998773131852</v>
      </c>
      <c r="X14" t="n">
        <v>96.687385339287</v>
      </c>
      <c r="Y14" t="n">
        <v>94.3612116257031</v>
      </c>
      <c r="Z14" t="n">
        <v>96.4331751075866</v>
      </c>
      <c r="AA14" t="n">
        <v>94.1872409828147</v>
      </c>
      <c r="AB14" t="n">
        <v>93.700850865991</v>
      </c>
      <c r="AC14" t="n">
        <v>95.0013486398672</v>
      </c>
      <c r="AD14" t="n">
        <v>97.1147442610086</v>
      </c>
      <c r="AE14" t="n">
        <v>100</v>
      </c>
      <c r="AF14" t="n">
        <v>101.960877280475</v>
      </c>
    </row>
    <row r="15">
      <c r="A15" t="s">
        <v>29</v>
      </c>
      <c r="B15" t="s">
        <v>187</v>
      </c>
      <c r="C15" t="s">
        <v>129</v>
      </c>
      <c r="D15" t="s">
        <v>188</v>
      </c>
      <c r="E15" t="s">
        <v>130</v>
      </c>
      <c r="F15" t="n">
        <v>96.8020464295805</v>
      </c>
      <c r="G15" t="n">
        <v>107.943868281329</v>
      </c>
      <c r="H15" t="n">
        <v>117.459773105659</v>
      </c>
      <c r="I15" t="n">
        <v>118.126678429356</v>
      </c>
      <c r="J15" t="n">
        <v>116.403088963112</v>
      </c>
      <c r="K15" t="n">
        <v>117.502660514501</v>
      </c>
      <c r="L15" t="n">
        <v>115.15239189331</v>
      </c>
      <c r="M15" t="n">
        <v>107.666055361597</v>
      </c>
      <c r="N15" t="n">
        <v>102.753393997896</v>
      </c>
      <c r="O15" t="n">
        <v>97.1380149705911</v>
      </c>
      <c r="P15" t="n">
        <v>94.079353116706</v>
      </c>
      <c r="Q15" t="n">
        <v>94.3245203576144</v>
      </c>
      <c r="R15" t="n">
        <v>90.5417184104474</v>
      </c>
      <c r="S15" t="n">
        <v>87.3238874289338</v>
      </c>
      <c r="T15" t="n">
        <v>94.1659077597766</v>
      </c>
      <c r="U15" t="n">
        <v>93.9314194771912</v>
      </c>
      <c r="V15" t="n">
        <v>93.6002352325189</v>
      </c>
      <c r="W15" t="n">
        <v>95.0360498539004</v>
      </c>
      <c r="X15" t="n">
        <v>93.6569647085249</v>
      </c>
      <c r="Y15" t="n">
        <v>92.1859993398538</v>
      </c>
      <c r="Z15" t="n">
        <v>94.077653391121</v>
      </c>
      <c r="AA15" t="n">
        <v>92.6098160242429</v>
      </c>
      <c r="AB15" t="n">
        <v>92.5928830990221</v>
      </c>
      <c r="AC15" t="n">
        <v>94.2673176295737</v>
      </c>
      <c r="AD15" t="n">
        <v>96.3743966691891</v>
      </c>
      <c r="AE15" t="n">
        <v>100</v>
      </c>
      <c r="AF15" t="n">
        <v>103.143689807314</v>
      </c>
    </row>
    <row r="16">
      <c r="A16" t="s">
        <v>29</v>
      </c>
      <c r="B16" t="s">
        <v>189</v>
      </c>
      <c r="C16" t="s">
        <v>129</v>
      </c>
      <c r="D16" t="s">
        <v>190</v>
      </c>
      <c r="E16" t="s">
        <v>130</v>
      </c>
      <c r="F16" t="n">
        <v>42.4911634808736</v>
      </c>
      <c r="G16" t="n">
        <v>49.0506668702359</v>
      </c>
      <c r="H16" t="n">
        <v>57.4424652313414</v>
      </c>
      <c r="I16" t="n">
        <v>63.7913769407056</v>
      </c>
      <c r="J16" t="n">
        <v>68.2672148392335</v>
      </c>
      <c r="K16" t="n">
        <v>71.2398937536628</v>
      </c>
      <c r="L16" t="n">
        <v>70.4457363472688</v>
      </c>
      <c r="M16" t="n">
        <v>66.534693403571</v>
      </c>
      <c r="N16" t="n">
        <v>69.8229013292338</v>
      </c>
      <c r="O16" t="n">
        <v>68.4812154995818</v>
      </c>
      <c r="P16" t="n">
        <v>67.0612296329705</v>
      </c>
      <c r="Q16" t="n">
        <v>70.9715818835962</v>
      </c>
      <c r="R16" t="n">
        <v>72.0714273418264</v>
      </c>
      <c r="S16" t="n">
        <v>72.106987464697</v>
      </c>
      <c r="T16" t="n">
        <v>78.5517182815659</v>
      </c>
      <c r="U16" t="n">
        <v>80.355400775778</v>
      </c>
      <c r="V16" t="n">
        <v>83.1303797120826</v>
      </c>
      <c r="W16" t="n">
        <v>86.1018680358437</v>
      </c>
      <c r="X16" t="n">
        <v>86.4132712065693</v>
      </c>
      <c r="Y16" t="n">
        <v>87.0506598300034</v>
      </c>
      <c r="Z16" t="n">
        <v>88.5089150736472</v>
      </c>
      <c r="AA16" t="n">
        <v>88.9692887029935</v>
      </c>
      <c r="AB16" t="n">
        <v>90.1198205521127</v>
      </c>
      <c r="AC16" t="n">
        <v>92.7398672268304</v>
      </c>
      <c r="AD16" t="n">
        <v>94.835673632201</v>
      </c>
      <c r="AE16" t="n">
        <v>100</v>
      </c>
      <c r="AF16" t="n">
        <v>104.942866405976</v>
      </c>
    </row>
    <row r="17">
      <c r="A17" t="s">
        <v>29</v>
      </c>
      <c r="B17" t="s">
        <v>191</v>
      </c>
      <c r="C17" t="s">
        <v>129</v>
      </c>
      <c r="D17" t="s">
        <v>192</v>
      </c>
      <c r="E17" t="s">
        <v>130</v>
      </c>
      <c r="F17" t="n">
        <v>38.2548038287115</v>
      </c>
      <c r="G17" t="n">
        <v>45.2414015477593</v>
      </c>
      <c r="H17" t="n">
        <v>55.7970694642419</v>
      </c>
      <c r="I17" t="n">
        <v>60.6380567979071</v>
      </c>
      <c r="J17" t="n">
        <v>65.1584689401483</v>
      </c>
      <c r="K17" t="n">
        <v>66.8248215485023</v>
      </c>
      <c r="L17" t="n">
        <v>67.0486832120748</v>
      </c>
      <c r="M17" t="n">
        <v>65.0434896964452</v>
      </c>
      <c r="N17" t="n">
        <v>66.9171189342059</v>
      </c>
      <c r="O17" t="n">
        <v>67.9949412240066</v>
      </c>
      <c r="P17" t="n">
        <v>71.7648889724157</v>
      </c>
      <c r="Q17" t="n">
        <v>76.6146499685337</v>
      </c>
      <c r="R17" t="n">
        <v>77.0054931250857</v>
      </c>
      <c r="S17" t="n">
        <v>75.2148407117955</v>
      </c>
      <c r="T17" t="n">
        <v>80.7955013040219</v>
      </c>
      <c r="U17" t="n">
        <v>80.4716072952805</v>
      </c>
      <c r="V17" t="n">
        <v>82.5955107180093</v>
      </c>
      <c r="W17" t="n">
        <v>85.8573908604411</v>
      </c>
      <c r="X17" t="n">
        <v>87.1078454060051</v>
      </c>
      <c r="Y17" t="n">
        <v>88.0660677988061</v>
      </c>
      <c r="Z17" t="n">
        <v>90.2423849573434</v>
      </c>
      <c r="AA17" t="n">
        <v>91.217494979581</v>
      </c>
      <c r="AB17" t="n">
        <v>91.4620964851609</v>
      </c>
      <c r="AC17" t="n">
        <v>93.129296490557</v>
      </c>
      <c r="AD17" t="n">
        <v>95.0962698765624</v>
      </c>
      <c r="AE17" t="n">
        <v>100</v>
      </c>
      <c r="AF17" t="n">
        <v>104.416869201603</v>
      </c>
    </row>
    <row r="18">
      <c r="A18" t="s">
        <v>29</v>
      </c>
      <c r="B18" t="s">
        <v>193</v>
      </c>
      <c r="C18" t="s">
        <v>129</v>
      </c>
      <c r="D18" t="s">
        <v>194</v>
      </c>
      <c r="E18" t="s">
        <v>130</v>
      </c>
      <c r="F18" t="n">
        <v>48.9984730412423</v>
      </c>
      <c r="G18" t="n">
        <v>52.9404961190438</v>
      </c>
      <c r="H18" t="n">
        <v>59.1528253096457</v>
      </c>
      <c r="I18" t="n">
        <v>67.53026357522</v>
      </c>
      <c r="J18" t="n">
        <v>72.639550634452</v>
      </c>
      <c r="K18" t="n">
        <v>74.9698142277796</v>
      </c>
      <c r="L18" t="n">
        <v>73.2551270106785</v>
      </c>
      <c r="M18" t="n">
        <v>69.0694241422466</v>
      </c>
      <c r="N18" t="n">
        <v>69.8001013644205</v>
      </c>
      <c r="O18" t="n">
        <v>69.9126409238592</v>
      </c>
      <c r="P18" t="n">
        <v>72.7718694527437</v>
      </c>
      <c r="Q18" t="n">
        <v>78.2936403022839</v>
      </c>
      <c r="R18" t="n">
        <v>77.0166942029561</v>
      </c>
      <c r="S18" t="n">
        <v>77.0154672510047</v>
      </c>
      <c r="T18" t="n">
        <v>82.6609330657471</v>
      </c>
      <c r="U18" t="n">
        <v>82.6376793395924</v>
      </c>
      <c r="V18" t="n">
        <v>83.5993695020981</v>
      </c>
      <c r="W18" t="n">
        <v>84.6647443190934</v>
      </c>
      <c r="X18" t="n">
        <v>85.9106622303669</v>
      </c>
      <c r="Y18" t="n">
        <v>86.916935357089</v>
      </c>
      <c r="Z18" t="n">
        <v>87.6689327417478</v>
      </c>
      <c r="AA18" t="n">
        <v>89.0004113030073</v>
      </c>
      <c r="AB18" t="n">
        <v>88.9727222151965</v>
      </c>
      <c r="AC18" t="n">
        <v>92.4978423773328</v>
      </c>
      <c r="AD18" t="n">
        <v>94.297071176022</v>
      </c>
      <c r="AE18" t="n">
        <v>100</v>
      </c>
      <c r="AF18" t="n">
        <v>102.855900328752</v>
      </c>
    </row>
    <row r="19">
      <c r="A19" t="s">
        <v>29</v>
      </c>
      <c r="B19" t="s">
        <v>195</v>
      </c>
      <c r="C19" t="s">
        <v>129</v>
      </c>
      <c r="D19" t="s">
        <v>196</v>
      </c>
      <c r="E19" t="s">
        <v>130</v>
      </c>
      <c r="F19" t="n">
        <v>31.3122258905184</v>
      </c>
      <c r="G19" t="n">
        <v>36.844909746533</v>
      </c>
      <c r="H19" t="n">
        <v>41.9971584951711</v>
      </c>
      <c r="I19" t="n">
        <v>46.353474070041</v>
      </c>
      <c r="J19" t="n">
        <v>50.8325232746742</v>
      </c>
      <c r="K19" t="n">
        <v>52.7463641076654</v>
      </c>
      <c r="L19" t="n">
        <v>53.1515673892848</v>
      </c>
      <c r="M19" t="n">
        <v>52.2720748940633</v>
      </c>
      <c r="N19" t="n">
        <v>56.2089115278713</v>
      </c>
      <c r="O19" t="n">
        <v>59.3411541511187</v>
      </c>
      <c r="P19" t="n">
        <v>62.1031934614706</v>
      </c>
      <c r="Q19" t="n">
        <v>66.0990407767597</v>
      </c>
      <c r="R19" t="n">
        <v>67.4783225717257</v>
      </c>
      <c r="S19" t="n">
        <v>70.1078389671599</v>
      </c>
      <c r="T19" t="n">
        <v>74.0141365982847</v>
      </c>
      <c r="U19" t="n">
        <v>74.7707821124988</v>
      </c>
      <c r="V19" t="n">
        <v>76.6864345438696</v>
      </c>
      <c r="W19" t="n">
        <v>76.8105188810216</v>
      </c>
      <c r="X19" t="n">
        <v>78.2485174534253</v>
      </c>
      <c r="Y19" t="n">
        <v>80.7675561731418</v>
      </c>
      <c r="Z19" t="n">
        <v>83.1495044466212</v>
      </c>
      <c r="AA19" t="n">
        <v>87.4217771767928</v>
      </c>
      <c r="AB19" t="n">
        <v>90.7370822653828</v>
      </c>
      <c r="AC19" t="n">
        <v>92.1228329646226</v>
      </c>
      <c r="AD19" t="n">
        <v>95.5021016875426</v>
      </c>
      <c r="AE19" t="n">
        <v>100</v>
      </c>
      <c r="AF19" t="n">
        <v>104.106870394805</v>
      </c>
    </row>
    <row r="20">
      <c r="A20" t="s">
        <v>29</v>
      </c>
      <c r="B20" t="s">
        <v>197</v>
      </c>
      <c r="C20" t="s">
        <v>129</v>
      </c>
      <c r="D20" t="s">
        <v>198</v>
      </c>
      <c r="E20" t="s">
        <v>130</v>
      </c>
      <c r="F20" t="n">
        <v>16.7792402561089</v>
      </c>
      <c r="G20" t="n">
        <v>20.5427674191012</v>
      </c>
      <c r="H20" t="n">
        <v>26.5154422052188</v>
      </c>
      <c r="I20" t="n">
        <v>31.3308379617497</v>
      </c>
      <c r="J20" t="n">
        <v>35.0733670371418</v>
      </c>
      <c r="K20" t="n">
        <v>37.4392909803756</v>
      </c>
      <c r="L20" t="n">
        <v>40.6252641321699</v>
      </c>
      <c r="M20" t="n">
        <v>41.3484015827397</v>
      </c>
      <c r="N20" t="n">
        <v>45.8729222026125</v>
      </c>
      <c r="O20" t="n">
        <v>51.9307382216804</v>
      </c>
      <c r="P20" t="n">
        <v>59.7376809298055</v>
      </c>
      <c r="Q20" t="n">
        <v>66.2483659401505</v>
      </c>
      <c r="R20" t="n">
        <v>75.953778101128</v>
      </c>
      <c r="S20" t="n">
        <v>89.3120602698227</v>
      </c>
      <c r="T20" t="n">
        <v>92.901809631696</v>
      </c>
      <c r="U20" t="n">
        <v>97.2132726415359</v>
      </c>
      <c r="V20" t="n">
        <v>100.701103592499</v>
      </c>
      <c r="W20" t="n">
        <v>106.708241193208</v>
      </c>
      <c r="X20" t="n">
        <v>102.98218808138</v>
      </c>
      <c r="Y20" t="n">
        <v>99.2722596924316</v>
      </c>
      <c r="Z20" t="n">
        <v>96.4434466148865</v>
      </c>
      <c r="AA20" t="n">
        <v>93.471354289372</v>
      </c>
      <c r="AB20" t="n">
        <v>93.1511006321821</v>
      </c>
      <c r="AC20" t="n">
        <v>98.8320959228088</v>
      </c>
      <c r="AD20" t="n">
        <v>102.093876245439</v>
      </c>
      <c r="AE20" t="n">
        <v>100</v>
      </c>
      <c r="AF20" t="n">
        <v>127.054440138459</v>
      </c>
    </row>
    <row r="21">
      <c r="A21" t="s">
        <v>29</v>
      </c>
      <c r="B21" t="s">
        <v>199</v>
      </c>
      <c r="C21" t="s">
        <v>129</v>
      </c>
      <c r="D21" t="s">
        <v>200</v>
      </c>
      <c r="E21" t="s">
        <v>130</v>
      </c>
      <c r="F21" t="n">
        <v>17.7013409128157</v>
      </c>
      <c r="G21" t="n">
        <v>21.7588420822137</v>
      </c>
      <c r="H21" t="n">
        <v>27.8327929770713</v>
      </c>
      <c r="I21" t="n">
        <v>32.8138704759286</v>
      </c>
      <c r="J21" t="n">
        <v>36.602818913605</v>
      </c>
      <c r="K21" t="n">
        <v>39.3095138031734</v>
      </c>
      <c r="L21" t="n">
        <v>42.5073964648752</v>
      </c>
      <c r="M21" t="n">
        <v>43.5919739782628</v>
      </c>
      <c r="N21" t="n">
        <v>48.271199982319</v>
      </c>
      <c r="O21" t="n">
        <v>53.936872873397</v>
      </c>
      <c r="P21" t="n">
        <v>61.1200341449085</v>
      </c>
      <c r="Q21" t="n">
        <v>66.9388181060959</v>
      </c>
      <c r="R21" t="n">
        <v>74.9127949131325</v>
      </c>
      <c r="S21" t="n">
        <v>86.1584078748757</v>
      </c>
      <c r="T21" t="n">
        <v>89.2408575015629</v>
      </c>
      <c r="U21" t="n">
        <v>93.3323611469332</v>
      </c>
      <c r="V21" t="n">
        <v>97.508651303909</v>
      </c>
      <c r="W21" t="n">
        <v>102.890164954636</v>
      </c>
      <c r="X21" t="n">
        <v>100.246007599069</v>
      </c>
      <c r="Y21" t="n">
        <v>97.2329210622579</v>
      </c>
      <c r="Z21" t="n">
        <v>95.0631290114452</v>
      </c>
      <c r="AA21" t="n">
        <v>92.8197179864201</v>
      </c>
      <c r="AB21" t="n">
        <v>93.3532948409866</v>
      </c>
      <c r="AC21" t="n">
        <v>97.974904842693</v>
      </c>
      <c r="AD21" t="n">
        <v>100.727744872182</v>
      </c>
      <c r="AE21" t="n">
        <v>100</v>
      </c>
      <c r="AF21" t="n">
        <v>126.638784778356</v>
      </c>
    </row>
    <row r="22">
      <c r="A22" t="s">
        <v>29</v>
      </c>
      <c r="B22" t="s">
        <v>201</v>
      </c>
      <c r="C22" t="s">
        <v>129</v>
      </c>
      <c r="D22" t="s">
        <v>202</v>
      </c>
      <c r="E22" t="s">
        <v>130</v>
      </c>
      <c r="F22" t="n">
        <v>21.2818507821381</v>
      </c>
      <c r="G22" t="n">
        <v>26.6255677694048</v>
      </c>
      <c r="H22" t="n">
        <v>32.691610017442</v>
      </c>
      <c r="I22" t="n">
        <v>38.1896934692075</v>
      </c>
      <c r="J22" t="n">
        <v>42.0539954155383</v>
      </c>
      <c r="K22" t="n">
        <v>45.9136513328111</v>
      </c>
      <c r="L22" t="n">
        <v>49.2157440288435</v>
      </c>
      <c r="M22" t="n">
        <v>51.454434277314</v>
      </c>
      <c r="N22" t="n">
        <v>56.6988701336515</v>
      </c>
      <c r="O22" t="n">
        <v>61.1616358750853</v>
      </c>
      <c r="P22" t="n">
        <v>66.773230651354</v>
      </c>
      <c r="Q22" t="n">
        <v>70.9664839706012</v>
      </c>
      <c r="R22" t="n">
        <v>74.0685530722056</v>
      </c>
      <c r="S22" t="n">
        <v>79.6180988709982</v>
      </c>
      <c r="T22" t="n">
        <v>81.4212977775491</v>
      </c>
      <c r="U22" t="n">
        <v>85.0271853145311</v>
      </c>
      <c r="V22" t="n">
        <v>90.8116766587913</v>
      </c>
      <c r="W22" t="n">
        <v>94.7748597811864</v>
      </c>
      <c r="X22" t="n">
        <v>94.5430182983007</v>
      </c>
      <c r="Y22" t="n">
        <v>93.0052595788556</v>
      </c>
      <c r="Z22" t="n">
        <v>92.2306638762238</v>
      </c>
      <c r="AA22" t="n">
        <v>91.5293160157785</v>
      </c>
      <c r="AB22" t="n">
        <v>93.7211778526772</v>
      </c>
      <c r="AC22" t="n">
        <v>96.2855086803806</v>
      </c>
      <c r="AD22" t="n">
        <v>98.0193332873989</v>
      </c>
      <c r="AE22" t="n">
        <v>100</v>
      </c>
      <c r="AF22" t="n">
        <v>125.671225390799</v>
      </c>
    </row>
    <row r="23">
      <c r="A23" t="s">
        <v>29</v>
      </c>
      <c r="B23" t="s">
        <v>203</v>
      </c>
      <c r="C23" t="s">
        <v>129</v>
      </c>
      <c r="D23" t="s">
        <v>204</v>
      </c>
      <c r="E23" t="s">
        <v>130</v>
      </c>
      <c r="F23" t="n">
        <v>23.5963872383781</v>
      </c>
      <c r="G23" t="n">
        <v>28.7616786872638</v>
      </c>
      <c r="H23" t="n">
        <v>33.9253041781098</v>
      </c>
      <c r="I23" t="n">
        <v>37.0186325388171</v>
      </c>
      <c r="J23" t="n">
        <v>40.5543090783465</v>
      </c>
      <c r="K23" t="n">
        <v>43.5072592214672</v>
      </c>
      <c r="L23" t="n">
        <v>46.7831775309021</v>
      </c>
      <c r="M23" t="n">
        <v>47.9490550763892</v>
      </c>
      <c r="N23" t="n">
        <v>49.9873176916318</v>
      </c>
      <c r="O23" t="n">
        <v>52.0133015024263</v>
      </c>
      <c r="P23" t="n">
        <v>54.7897675834414</v>
      </c>
      <c r="Q23" t="n">
        <v>58.4040855568357</v>
      </c>
      <c r="R23" t="n">
        <v>62.1839014164621</v>
      </c>
      <c r="S23" t="n">
        <v>66.4544355443619</v>
      </c>
      <c r="T23" t="n">
        <v>68.2586303936345</v>
      </c>
      <c r="U23" t="n">
        <v>69.2053994891889</v>
      </c>
      <c r="V23" t="n">
        <v>70.3907646008627</v>
      </c>
      <c r="W23" t="n">
        <v>71.3938901658372</v>
      </c>
      <c r="X23" t="n">
        <v>72.2788938470295</v>
      </c>
      <c r="Y23" t="n">
        <v>73.5555158946734</v>
      </c>
      <c r="Z23" t="n">
        <v>74.7747183388759</v>
      </c>
      <c r="AA23" t="n">
        <v>77.3002264590664</v>
      </c>
      <c r="AB23" t="n">
        <v>80.7269432547204</v>
      </c>
      <c r="AC23" t="n">
        <v>87.5011553245468</v>
      </c>
      <c r="AD23" t="n">
        <v>94.1263562057785</v>
      </c>
      <c r="AE23" t="n">
        <v>100</v>
      </c>
      <c r="AF23" t="n">
        <v>110.330162733412</v>
      </c>
    </row>
    <row r="24">
      <c r="A24" t="s">
        <v>29</v>
      </c>
      <c r="B24" t="s">
        <v>205</v>
      </c>
      <c r="C24" t="s">
        <v>129</v>
      </c>
      <c r="D24" t="s">
        <v>206</v>
      </c>
      <c r="E24" t="s">
        <v>130</v>
      </c>
      <c r="F24" t="n">
        <v>26.1152233649016</v>
      </c>
      <c r="G24" t="n">
        <v>32.2124837769726</v>
      </c>
      <c r="H24" t="n">
        <v>38.2874697191039</v>
      </c>
      <c r="I24" t="n">
        <v>42.524672212294</v>
      </c>
      <c r="J24" t="n">
        <v>46.2997232268255</v>
      </c>
      <c r="K24" t="n">
        <v>50.7091233478425</v>
      </c>
      <c r="L24" t="n">
        <v>53.8220838402869</v>
      </c>
      <c r="M24" t="n">
        <v>54.4001241876584</v>
      </c>
      <c r="N24" t="n">
        <v>56.3777322052433</v>
      </c>
      <c r="O24" t="n">
        <v>59.4953004739509</v>
      </c>
      <c r="P24" t="n">
        <v>61.4299891879026</v>
      </c>
      <c r="Q24" t="n">
        <v>65.0516048401973</v>
      </c>
      <c r="R24" t="n">
        <v>69.7022512648853</v>
      </c>
      <c r="S24" t="n">
        <v>76.9105510025064</v>
      </c>
      <c r="T24" t="n">
        <v>80.350019130105</v>
      </c>
      <c r="U24" t="n">
        <v>83.0377430519719</v>
      </c>
      <c r="V24" t="n">
        <v>86.8788739267777</v>
      </c>
      <c r="W24" t="n">
        <v>88.916551354358</v>
      </c>
      <c r="X24" t="n">
        <v>89.0500107183502</v>
      </c>
      <c r="Y24" t="n">
        <v>89.7409773635443</v>
      </c>
      <c r="Z24" t="n">
        <v>90.3377467007801</v>
      </c>
      <c r="AA24" t="n">
        <v>90.7171701685513</v>
      </c>
      <c r="AB24" t="n">
        <v>92.7246402966965</v>
      </c>
      <c r="AC24" t="n">
        <v>94.3712195301762</v>
      </c>
      <c r="AD24" t="n">
        <v>97.3268799214359</v>
      </c>
      <c r="AE24" t="n">
        <v>100</v>
      </c>
      <c r="AF24" t="n">
        <v>106.6927182017</v>
      </c>
    </row>
    <row r="25">
      <c r="A25" t="s">
        <v>29</v>
      </c>
      <c r="B25" t="s">
        <v>207</v>
      </c>
      <c r="C25" t="s">
        <v>129</v>
      </c>
      <c r="D25" t="s">
        <v>208</v>
      </c>
      <c r="E25" t="s">
        <v>130</v>
      </c>
      <c r="F25" t="n">
        <v>41.691255709299</v>
      </c>
      <c r="G25" t="n">
        <v>51.0780089732954</v>
      </c>
      <c r="H25" t="n">
        <v>59.4129112500703</v>
      </c>
      <c r="I25" t="n">
        <v>65.2377011865177</v>
      </c>
      <c r="J25" t="n">
        <v>71.3210093956894</v>
      </c>
      <c r="K25" t="n">
        <v>78.9005568202328</v>
      </c>
      <c r="L25" t="n">
        <v>82.9723881868278</v>
      </c>
      <c r="M25" t="n">
        <v>80.635969461872</v>
      </c>
      <c r="N25" t="n">
        <v>82.9510369854595</v>
      </c>
      <c r="O25" t="n">
        <v>84.8337624998474</v>
      </c>
      <c r="P25" t="n">
        <v>85.1712141565232</v>
      </c>
      <c r="Q25" t="n">
        <v>90.0892815611724</v>
      </c>
      <c r="R25" t="n">
        <v>93.9394917629765</v>
      </c>
      <c r="S25" t="n">
        <v>96.269254482053</v>
      </c>
      <c r="T25" t="n">
        <v>96.4741246269796</v>
      </c>
      <c r="U25" t="n">
        <v>96.2530086829556</v>
      </c>
      <c r="V25" t="n">
        <v>96.154625191356</v>
      </c>
      <c r="W25" t="n">
        <v>94.0949540618736</v>
      </c>
      <c r="X25" t="n">
        <v>92.425838466893</v>
      </c>
      <c r="Y25" t="n">
        <v>93.1606417806594</v>
      </c>
      <c r="Z25" t="n">
        <v>95.5658580380835</v>
      </c>
      <c r="AA25" t="n">
        <v>97.0656845397018</v>
      </c>
      <c r="AB25" t="n">
        <v>97.2518022493911</v>
      </c>
      <c r="AC25" t="n">
        <v>96.9574032007328</v>
      </c>
      <c r="AD25" t="n">
        <v>98.371566385565</v>
      </c>
      <c r="AE25" t="n">
        <v>100</v>
      </c>
      <c r="AF25" t="n">
        <v>104.295474741608</v>
      </c>
    </row>
    <row r="26">
      <c r="A26" t="s">
        <v>29</v>
      </c>
      <c r="B26" t="s">
        <v>209</v>
      </c>
      <c r="C26" t="s">
        <v>129</v>
      </c>
      <c r="D26" t="s">
        <v>210</v>
      </c>
      <c r="E26" t="s">
        <v>130</v>
      </c>
      <c r="F26" t="n">
        <v>22.3667050068563</v>
      </c>
      <c r="G26" t="n">
        <v>27.1323526313385</v>
      </c>
      <c r="H26" t="n">
        <v>32.4588791468475</v>
      </c>
      <c r="I26" t="n">
        <v>35.8201002795268</v>
      </c>
      <c r="J26" t="n">
        <v>38.8769152091122</v>
      </c>
      <c r="K26" t="n">
        <v>42.881114194953</v>
      </c>
      <c r="L26" t="n">
        <v>44.9522674725369</v>
      </c>
      <c r="M26" t="n">
        <v>45.595212375319</v>
      </c>
      <c r="N26" t="n">
        <v>48.349243498945</v>
      </c>
      <c r="O26" t="n">
        <v>51.6494245571408</v>
      </c>
      <c r="P26" t="n">
        <v>53.9033081553594</v>
      </c>
      <c r="Q26" t="n">
        <v>57.6631615675402</v>
      </c>
      <c r="R26" t="n">
        <v>62.4050435714946</v>
      </c>
      <c r="S26" t="n">
        <v>72.3825176970727</v>
      </c>
      <c r="T26" t="n">
        <v>77.9288287236394</v>
      </c>
      <c r="U26" t="n">
        <v>82.0575190131603</v>
      </c>
      <c r="V26" t="n">
        <v>86.9148956191466</v>
      </c>
      <c r="W26" t="n">
        <v>89.8682331368143</v>
      </c>
      <c r="X26" t="n">
        <v>89.1867275902588</v>
      </c>
      <c r="Y26" t="n">
        <v>88.4458426455783</v>
      </c>
      <c r="Z26" t="n">
        <v>89.2833275224351</v>
      </c>
      <c r="AA26" t="n">
        <v>89.2294143364923</v>
      </c>
      <c r="AB26" t="n">
        <v>91.6298142273437</v>
      </c>
      <c r="AC26" t="n">
        <v>93.4622520297322</v>
      </c>
      <c r="AD26" t="n">
        <v>96.5178168432036</v>
      </c>
      <c r="AE26" t="n">
        <v>100</v>
      </c>
      <c r="AF26" t="n">
        <v>108.039646685286</v>
      </c>
    </row>
    <row r="27">
      <c r="A27" t="s">
        <v>29</v>
      </c>
      <c r="B27" t="s">
        <v>211</v>
      </c>
      <c r="C27" t="s">
        <v>129</v>
      </c>
      <c r="D27" t="s">
        <v>212</v>
      </c>
      <c r="E27" t="s">
        <v>130</v>
      </c>
      <c r="F27" t="n">
        <v>27.9616140765093</v>
      </c>
      <c r="G27" t="n">
        <v>35.3841158243967</v>
      </c>
      <c r="H27" t="n">
        <v>41.9283724965853</v>
      </c>
      <c r="I27" t="n">
        <v>47.1607639653132</v>
      </c>
      <c r="J27" t="n">
        <v>51.5106796513522</v>
      </c>
      <c r="K27" t="n">
        <v>55.6298186559845</v>
      </c>
      <c r="L27" t="n">
        <v>60.3435388393317</v>
      </c>
      <c r="M27" t="n">
        <v>61.6121456179805</v>
      </c>
      <c r="N27" t="n">
        <v>61.9998690698856</v>
      </c>
      <c r="O27" t="n">
        <v>65.0953330735879</v>
      </c>
      <c r="P27" t="n">
        <v>66.8501864476395</v>
      </c>
      <c r="Q27" t="n">
        <v>69.7386162765476</v>
      </c>
      <c r="R27" t="n">
        <v>74.3724889600912</v>
      </c>
      <c r="S27" t="n">
        <v>78.1601929550492</v>
      </c>
      <c r="T27" t="n">
        <v>79.4133440841889</v>
      </c>
      <c r="U27" t="n">
        <v>80.5975014423196</v>
      </c>
      <c r="V27" t="n">
        <v>83.979580178645</v>
      </c>
      <c r="W27" t="n">
        <v>85.8522510011942</v>
      </c>
      <c r="X27" t="n">
        <v>87.6650179243714</v>
      </c>
      <c r="Y27" t="n">
        <v>90.359669153978</v>
      </c>
      <c r="Z27" t="n">
        <v>90.095592285802</v>
      </c>
      <c r="AA27" t="n">
        <v>90.745439880414</v>
      </c>
      <c r="AB27" t="n">
        <v>92.7665399976648</v>
      </c>
      <c r="AC27" t="n">
        <v>94.7728267303886</v>
      </c>
      <c r="AD27" t="n">
        <v>98.0892299963652</v>
      </c>
      <c r="AE27" t="n">
        <v>100</v>
      </c>
      <c r="AF27" t="n">
        <v>105.569528213012</v>
      </c>
    </row>
    <row r="28">
      <c r="A28" t="s">
        <v>29</v>
      </c>
      <c r="B28" t="s">
        <v>213</v>
      </c>
      <c r="C28" t="s">
        <v>129</v>
      </c>
      <c r="D28" t="s">
        <v>214</v>
      </c>
      <c r="E28" t="s">
        <v>130</v>
      </c>
      <c r="F28" t="n">
        <v>25.6547158407619</v>
      </c>
      <c r="G28" t="n">
        <v>31.0322148254505</v>
      </c>
      <c r="H28" t="n">
        <v>36.9637309896669</v>
      </c>
      <c r="I28" t="n">
        <v>41.768061237689</v>
      </c>
      <c r="J28" t="n">
        <v>45.5427874875482</v>
      </c>
      <c r="K28" t="n">
        <v>48.9302152667866</v>
      </c>
      <c r="L28" t="n">
        <v>51.1335064199383</v>
      </c>
      <c r="M28" t="n">
        <v>51.9302396108686</v>
      </c>
      <c r="N28" t="n">
        <v>54.0199097388609</v>
      </c>
      <c r="O28" t="n">
        <v>56.6508760613784</v>
      </c>
      <c r="P28" t="n">
        <v>60.5410547051883</v>
      </c>
      <c r="Q28" t="n">
        <v>64.4853265275049</v>
      </c>
      <c r="R28" t="n">
        <v>67.8497858948205</v>
      </c>
      <c r="S28" t="n">
        <v>72.77601976437</v>
      </c>
      <c r="T28" t="n">
        <v>73.556875394376</v>
      </c>
      <c r="U28" t="n">
        <v>77.9297092666162</v>
      </c>
      <c r="V28" t="n">
        <v>84.1619076338884</v>
      </c>
      <c r="W28" t="n">
        <v>85.6797423969679</v>
      </c>
      <c r="X28" t="n">
        <v>88.0586368249437</v>
      </c>
      <c r="Y28" t="n">
        <v>90.7925957693214</v>
      </c>
      <c r="Z28" t="n">
        <v>91.5025301172238</v>
      </c>
      <c r="AA28" t="n">
        <v>92.0369198439749</v>
      </c>
      <c r="AB28" t="n">
        <v>92.7479095450922</v>
      </c>
      <c r="AC28" t="n">
        <v>95.8995890103014</v>
      </c>
      <c r="AD28" t="n">
        <v>98.8603544807854</v>
      </c>
      <c r="AE28" t="n">
        <v>100</v>
      </c>
      <c r="AF28" t="n">
        <v>104.695850096373</v>
      </c>
    </row>
    <row r="29">
      <c r="A29" t="s">
        <v>29</v>
      </c>
      <c r="B29" t="s">
        <v>215</v>
      </c>
      <c r="C29" t="s">
        <v>129</v>
      </c>
      <c r="D29" t="s">
        <v>216</v>
      </c>
      <c r="E29" t="s">
        <v>130</v>
      </c>
      <c r="F29" t="n">
        <v>24.2806890931048</v>
      </c>
      <c r="G29" t="n">
        <v>28.2929279410458</v>
      </c>
      <c r="H29" t="n">
        <v>33.7426601683126</v>
      </c>
      <c r="I29" t="n">
        <v>37.87227477234</v>
      </c>
      <c r="J29" t="n">
        <v>40.6550011734847</v>
      </c>
      <c r="K29" t="n">
        <v>43.1271502682636</v>
      </c>
      <c r="L29" t="n">
        <v>45.5636797486985</v>
      </c>
      <c r="M29" t="n">
        <v>46.2960038338931</v>
      </c>
      <c r="N29" t="n">
        <v>48.8818061387441</v>
      </c>
      <c r="O29" t="n">
        <v>52.7366980628276</v>
      </c>
      <c r="P29" t="n">
        <v>58.0998570049114</v>
      </c>
      <c r="Q29" t="n">
        <v>64.0397628032297</v>
      </c>
      <c r="R29" t="n">
        <v>69.2237104617669</v>
      </c>
      <c r="S29" t="n">
        <v>74.6834026353389</v>
      </c>
      <c r="T29" t="n">
        <v>75.6965601068008</v>
      </c>
      <c r="U29" t="n">
        <v>79.0195129787799</v>
      </c>
      <c r="V29" t="n">
        <v>83.3617530277153</v>
      </c>
      <c r="W29" t="n">
        <v>85.7932849596393</v>
      </c>
      <c r="X29" t="n">
        <v>87.4646735222553</v>
      </c>
      <c r="Y29" t="n">
        <v>89.9427908361622</v>
      </c>
      <c r="Z29" t="n">
        <v>90.443386880651</v>
      </c>
      <c r="AA29" t="n">
        <v>91.2905841439416</v>
      </c>
      <c r="AB29" t="n">
        <v>92.05236178138</v>
      </c>
      <c r="AC29" t="n">
        <v>95.3595676963528</v>
      </c>
      <c r="AD29" t="n">
        <v>98.7242719182922</v>
      </c>
      <c r="AE29" t="n">
        <v>100</v>
      </c>
      <c r="AF29" t="n">
        <v>105.754455020762</v>
      </c>
    </row>
    <row r="30">
      <c r="A30" t="s">
        <v>29</v>
      </c>
      <c r="B30" t="s">
        <v>217</v>
      </c>
      <c r="C30" t="s">
        <v>129</v>
      </c>
      <c r="D30" t="s">
        <v>218</v>
      </c>
      <c r="E30" t="s">
        <v>130</v>
      </c>
      <c r="F30" t="n">
        <v>8.38614322236014</v>
      </c>
      <c r="G30" t="n">
        <v>23.5834710619055</v>
      </c>
      <c r="H30" t="n">
        <v>27.3067942761194</v>
      </c>
      <c r="I30" t="n">
        <v>33.9393783991576</v>
      </c>
      <c r="J30" t="n">
        <v>41.1673460332274</v>
      </c>
      <c r="K30" t="n">
        <v>45.1247873991785</v>
      </c>
      <c r="L30" t="n">
        <v>45.8147282826708</v>
      </c>
      <c r="M30" t="n">
        <v>47.8872155109783</v>
      </c>
      <c r="N30" t="n">
        <v>48.8252216818673</v>
      </c>
      <c r="O30" t="n">
        <v>51.58020318181</v>
      </c>
      <c r="P30" t="n">
        <v>55.0878192000699</v>
      </c>
      <c r="Q30" t="n">
        <v>59.3976587135796</v>
      </c>
      <c r="R30" t="n">
        <v>66.6246465735882</v>
      </c>
      <c r="S30" t="n">
        <v>74.9187437645873</v>
      </c>
      <c r="T30" t="n">
        <v>70.7546274979701</v>
      </c>
      <c r="U30" t="n">
        <v>77.9378568925104</v>
      </c>
      <c r="V30" t="n">
        <v>81.990481836305</v>
      </c>
      <c r="W30" t="n">
        <v>80.7345490519033</v>
      </c>
      <c r="X30" t="n">
        <v>85.4931208156553</v>
      </c>
      <c r="Y30" t="n">
        <v>89.7586103316901</v>
      </c>
      <c r="Z30" t="n">
        <v>89.8107862364617</v>
      </c>
      <c r="AA30" t="n">
        <v>90.5591360874664</v>
      </c>
      <c r="AB30" t="n">
        <v>90.776373084508</v>
      </c>
      <c r="AC30" t="n">
        <v>92.8963737804818</v>
      </c>
      <c r="AD30" t="n">
        <v>97.566759083613</v>
      </c>
      <c r="AE30" t="n">
        <v>100</v>
      </c>
      <c r="AF30" t="n">
        <v>102.116108579354</v>
      </c>
    </row>
    <row r="31">
      <c r="A31" t="s">
        <v>29</v>
      </c>
      <c r="B31" t="s">
        <v>219</v>
      </c>
      <c r="C31" t="s">
        <v>129</v>
      </c>
      <c r="D31" t="s">
        <v>220</v>
      </c>
      <c r="E31" t="s">
        <v>130</v>
      </c>
      <c r="F31" t="n">
        <v>28.704230352596</v>
      </c>
      <c r="G31" t="n">
        <v>33.3491610414148</v>
      </c>
      <c r="H31" t="n">
        <v>37.5605129649548</v>
      </c>
      <c r="I31" t="n">
        <v>48.7685783576449</v>
      </c>
      <c r="J31" t="n">
        <v>53.1454147083678</v>
      </c>
      <c r="K31" t="n">
        <v>59.0151192865226</v>
      </c>
      <c r="L31" t="n">
        <v>58.6015959899032</v>
      </c>
      <c r="M31" t="n">
        <v>61.153653359822</v>
      </c>
      <c r="N31" t="n">
        <v>63.3692946749292</v>
      </c>
      <c r="O31" t="n">
        <v>64.0720248157174</v>
      </c>
      <c r="P31" t="n">
        <v>63.6779883296504</v>
      </c>
      <c r="Q31" t="n">
        <v>65.3429948143802</v>
      </c>
      <c r="R31" t="n">
        <v>65.5225049756772</v>
      </c>
      <c r="S31" t="n">
        <v>73.4514735929615</v>
      </c>
      <c r="T31" t="n">
        <v>67.3922386882279</v>
      </c>
      <c r="U31" t="n">
        <v>71.7262716365002</v>
      </c>
      <c r="V31" t="n">
        <v>79.7771309872492</v>
      </c>
      <c r="W31" t="n">
        <v>86.2817689463443</v>
      </c>
      <c r="X31" t="n">
        <v>102.15956233291</v>
      </c>
      <c r="Y31" t="n">
        <v>112.471225620668</v>
      </c>
      <c r="Z31" t="n">
        <v>111.615361983986</v>
      </c>
      <c r="AA31" t="n">
        <v>107.346940910568</v>
      </c>
      <c r="AB31" t="n">
        <v>106.528073658586</v>
      </c>
      <c r="AC31" t="n">
        <v>112.16485933581</v>
      </c>
      <c r="AD31" t="n">
        <v>112.210571221892</v>
      </c>
      <c r="AE31" t="n">
        <v>100</v>
      </c>
      <c r="AF31" t="n">
        <v>91.8873392589285</v>
      </c>
    </row>
    <row r="32">
      <c r="A32" t="s">
        <v>29</v>
      </c>
      <c r="B32" t="s">
        <v>221</v>
      </c>
      <c r="C32" t="s">
        <v>129</v>
      </c>
      <c r="D32" t="s">
        <v>222</v>
      </c>
      <c r="E32" t="s">
        <v>130</v>
      </c>
      <c r="F32" t="n">
        <v>28.3374578069693</v>
      </c>
      <c r="G32" t="n">
        <v>34.4635741704617</v>
      </c>
      <c r="H32" t="n">
        <v>41.9518729877281</v>
      </c>
      <c r="I32" t="n">
        <v>46.2638239511494</v>
      </c>
      <c r="J32" t="n">
        <v>52.5434888976476</v>
      </c>
      <c r="K32" t="n">
        <v>59.2776342003951</v>
      </c>
      <c r="L32" t="n">
        <v>61.4496132035356</v>
      </c>
      <c r="M32" t="n">
        <v>62.0305001213098</v>
      </c>
      <c r="N32" t="n">
        <v>63.0725108399947</v>
      </c>
      <c r="O32" t="n">
        <v>62.3723389140409</v>
      </c>
      <c r="P32" t="n">
        <v>64.0306062058393</v>
      </c>
      <c r="Q32" t="n">
        <v>64.0035667038927</v>
      </c>
      <c r="R32" t="n">
        <v>64.3178846370117</v>
      </c>
      <c r="S32" t="n">
        <v>68.7853443888567</v>
      </c>
      <c r="T32" t="n">
        <v>70.8657466998916</v>
      </c>
      <c r="U32" t="n">
        <v>77.4939716892738</v>
      </c>
      <c r="V32" t="n">
        <v>87.3244810008297</v>
      </c>
      <c r="W32" t="n">
        <v>85.9676309065103</v>
      </c>
      <c r="X32" t="n">
        <v>86.6191051757908</v>
      </c>
      <c r="Y32" t="n">
        <v>88.327104750337</v>
      </c>
      <c r="Z32" t="n">
        <v>89.6526452176381</v>
      </c>
      <c r="AA32" t="n">
        <v>90.9458062705936</v>
      </c>
      <c r="AB32" t="n">
        <v>91.6106617753909</v>
      </c>
      <c r="AC32" t="n">
        <v>93.8255455700468</v>
      </c>
      <c r="AD32" t="n">
        <v>97.1360347823961</v>
      </c>
      <c r="AE32" t="n">
        <v>100</v>
      </c>
      <c r="AF32" t="n">
        <v>106.169231243923</v>
      </c>
    </row>
    <row r="33">
      <c r="A33" t="s">
        <v>29</v>
      </c>
      <c r="B33" t="s">
        <v>223</v>
      </c>
      <c r="C33" t="s">
        <v>129</v>
      </c>
      <c r="D33" t="s">
        <v>224</v>
      </c>
      <c r="E33" t="s">
        <v>130</v>
      </c>
      <c r="F33" t="n">
        <v>37.974224421144</v>
      </c>
      <c r="G33" t="n">
        <v>46.1545805542739</v>
      </c>
      <c r="H33" t="n">
        <v>54.9749425910818</v>
      </c>
      <c r="I33" t="n">
        <v>60.7812168140826</v>
      </c>
      <c r="J33" t="n">
        <v>68.6493711417365</v>
      </c>
      <c r="K33" t="n">
        <v>70.8322450968572</v>
      </c>
      <c r="L33" t="n">
        <v>72.7091797521001</v>
      </c>
      <c r="M33" t="n">
        <v>73.0300967545508</v>
      </c>
      <c r="N33" t="n">
        <v>71.7432955071739</v>
      </c>
      <c r="O33" t="n">
        <v>71.2089945404487</v>
      </c>
      <c r="P33" t="n">
        <v>71.0730361733167</v>
      </c>
      <c r="Q33" t="n">
        <v>70.4369201124258</v>
      </c>
      <c r="R33" t="n">
        <v>70.2482684347073</v>
      </c>
      <c r="S33" t="n">
        <v>69.3909282660503</v>
      </c>
      <c r="T33" t="n">
        <v>71.2183916694785</v>
      </c>
      <c r="U33" t="n">
        <v>72.919013837709</v>
      </c>
      <c r="V33" t="n">
        <v>76.0759324379263</v>
      </c>
      <c r="W33" t="n">
        <v>78.3546994330066</v>
      </c>
      <c r="X33" t="n">
        <v>80.9623980922674</v>
      </c>
      <c r="Y33" t="n">
        <v>82.6661912328678</v>
      </c>
      <c r="Z33" t="n">
        <v>84.280185211096</v>
      </c>
      <c r="AA33" t="n">
        <v>85.6443545157322</v>
      </c>
      <c r="AB33" t="n">
        <v>88.9620437991332</v>
      </c>
      <c r="AC33" t="n">
        <v>90.7542276532852</v>
      </c>
      <c r="AD33" t="n">
        <v>94.7451507620991</v>
      </c>
      <c r="AE33" t="n">
        <v>100</v>
      </c>
      <c r="AF33" t="n">
        <v>104.669568752009</v>
      </c>
    </row>
    <row r="34">
      <c r="A34" t="s">
        <v>29</v>
      </c>
      <c r="B34" t="s">
        <v>225</v>
      </c>
      <c r="C34" t="s">
        <v>129</v>
      </c>
      <c r="D34" t="s">
        <v>226</v>
      </c>
      <c r="E34" t="s">
        <v>130</v>
      </c>
      <c r="F34" t="n">
        <v>19.7454313299438</v>
      </c>
      <c r="G34" t="n">
        <v>24.0488230879325</v>
      </c>
      <c r="H34" t="n">
        <v>28.7217271745094</v>
      </c>
      <c r="I34" t="n">
        <v>31.8478141639654</v>
      </c>
      <c r="J34" t="n">
        <v>35.8939115047686</v>
      </c>
      <c r="K34" t="n">
        <v>40.2493819739569</v>
      </c>
      <c r="L34" t="n">
        <v>43.1983549824346</v>
      </c>
      <c r="M34" t="n">
        <v>47.4252406391763</v>
      </c>
      <c r="N34" t="n">
        <v>53.4691740684771</v>
      </c>
      <c r="O34" t="n">
        <v>56.1849368129975</v>
      </c>
      <c r="P34" t="n">
        <v>58.3867217712283</v>
      </c>
      <c r="Q34" t="n">
        <v>60.8475792145067</v>
      </c>
      <c r="R34" t="n">
        <v>64.8249475941844</v>
      </c>
      <c r="S34" t="n">
        <v>67.9023222141538</v>
      </c>
      <c r="T34" t="n">
        <v>70.3453426585958</v>
      </c>
      <c r="U34" t="n">
        <v>71.7278211102395</v>
      </c>
      <c r="V34" t="n">
        <v>72.1081146139309</v>
      </c>
      <c r="W34" t="n">
        <v>72.8528605467466</v>
      </c>
      <c r="X34" t="n">
        <v>74.529395375314</v>
      </c>
      <c r="Y34" t="n">
        <v>75.9299105714767</v>
      </c>
      <c r="Z34" t="n">
        <v>77.5313138040203</v>
      </c>
      <c r="AA34" t="n">
        <v>79.6805569338264</v>
      </c>
      <c r="AB34" t="n">
        <v>83.3072785996649</v>
      </c>
      <c r="AC34" t="n">
        <v>87.2144679383761</v>
      </c>
      <c r="AD34" t="n">
        <v>92.7952240648232</v>
      </c>
      <c r="AE34" t="n">
        <v>100</v>
      </c>
      <c r="AF34" t="n">
        <v>104.742872525634</v>
      </c>
    </row>
    <row r="35">
      <c r="A35" t="s">
        <v>29</v>
      </c>
      <c r="B35" t="s">
        <v>227</v>
      </c>
      <c r="C35" t="s">
        <v>129</v>
      </c>
      <c r="D35" t="s">
        <v>228</v>
      </c>
      <c r="E35" t="s">
        <v>130</v>
      </c>
      <c r="F35" t="n">
        <v>46.636761662909</v>
      </c>
      <c r="G35" t="n">
        <v>55.5087964617452</v>
      </c>
      <c r="H35" t="n">
        <v>64.6211814506999</v>
      </c>
      <c r="I35" t="n">
        <v>71.6571790461305</v>
      </c>
      <c r="J35" t="n">
        <v>80.0826780465345</v>
      </c>
      <c r="K35" t="n">
        <v>84.0972606704147</v>
      </c>
      <c r="L35" t="n">
        <v>86.6080730537949</v>
      </c>
      <c r="M35" t="n">
        <v>87.4575512415286</v>
      </c>
      <c r="N35" t="n">
        <v>90.6817088045962</v>
      </c>
      <c r="O35" t="n">
        <v>91.8112362316642</v>
      </c>
      <c r="P35" t="n">
        <v>94.0741536025442</v>
      </c>
      <c r="Q35" t="n">
        <v>97.7112822072099</v>
      </c>
      <c r="R35" t="n">
        <v>101.322882186084</v>
      </c>
      <c r="S35" t="n">
        <v>103.01552685881</v>
      </c>
      <c r="T35" t="n">
        <v>100.866329718336</v>
      </c>
      <c r="U35" t="n">
        <v>99.8966000674153</v>
      </c>
      <c r="V35" t="n">
        <v>100.609462415157</v>
      </c>
      <c r="W35" t="n">
        <v>100.84628612928</v>
      </c>
      <c r="X35" t="n">
        <v>100.744862037046</v>
      </c>
      <c r="Y35" t="n">
        <v>100.454664162116</v>
      </c>
      <c r="Z35" t="n">
        <v>100.355776765383</v>
      </c>
      <c r="AA35" t="n">
        <v>100.642683007577</v>
      </c>
      <c r="AB35" t="n">
        <v>99.7794930157041</v>
      </c>
      <c r="AC35" t="n">
        <v>98.9021947872683</v>
      </c>
      <c r="AD35" t="n">
        <v>99.9549991724642</v>
      </c>
      <c r="AE35" t="n">
        <v>100</v>
      </c>
      <c r="AF35" t="n">
        <v>100.329300702592</v>
      </c>
    </row>
    <row r="36">
      <c r="A36" t="s">
        <v>29</v>
      </c>
      <c r="B36" t="s">
        <v>229</v>
      </c>
      <c r="C36" t="s">
        <v>129</v>
      </c>
      <c r="D36" t="s">
        <v>230</v>
      </c>
      <c r="E36" t="s">
        <v>130</v>
      </c>
      <c r="F36" t="n">
        <v>35.7965894966966</v>
      </c>
      <c r="G36" t="n">
        <v>41.9884990907479</v>
      </c>
      <c r="H36" t="n">
        <v>47.3989463324404</v>
      </c>
      <c r="I36" t="n">
        <v>53.6802192164683</v>
      </c>
      <c r="J36" t="n">
        <v>59.8456054407571</v>
      </c>
      <c r="K36" t="n">
        <v>64.370186064617</v>
      </c>
      <c r="L36" t="n">
        <v>67.0150055776249</v>
      </c>
      <c r="M36" t="n">
        <v>67.8391244125958</v>
      </c>
      <c r="N36" t="n">
        <v>68.9506986327836</v>
      </c>
      <c r="O36" t="n">
        <v>71.0898681078129</v>
      </c>
      <c r="P36" t="n">
        <v>74.1787766550029</v>
      </c>
      <c r="Q36" t="n">
        <v>77.270266774355</v>
      </c>
      <c r="R36" t="n">
        <v>80.8438772987591</v>
      </c>
      <c r="S36" t="n">
        <v>82.3412175860185</v>
      </c>
      <c r="T36" t="n">
        <v>84.2532928488509</v>
      </c>
      <c r="U36" t="n">
        <v>86.0993572293878</v>
      </c>
      <c r="V36" t="n">
        <v>88.9755051259067</v>
      </c>
      <c r="W36" t="n">
        <v>92.1592680570816</v>
      </c>
      <c r="X36" t="n">
        <v>91.0491266015748</v>
      </c>
      <c r="Y36" t="n">
        <v>90.7898149289313</v>
      </c>
      <c r="Z36" t="n">
        <v>91.7342595164369</v>
      </c>
      <c r="AA36" t="n">
        <v>92.7927467309663</v>
      </c>
      <c r="AB36" t="n">
        <v>93.5953735843803</v>
      </c>
      <c r="AC36" t="n">
        <v>94.946651533177</v>
      </c>
      <c r="AD36" t="n">
        <v>98.2067464253425</v>
      </c>
      <c r="AE36" t="n">
        <v>100</v>
      </c>
      <c r="AF36" t="n">
        <v>101.585231202908</v>
      </c>
    </row>
    <row r="37">
      <c r="A37" t="s">
        <v>29</v>
      </c>
      <c r="B37" t="s">
        <v>231</v>
      </c>
      <c r="C37" t="s">
        <v>129</v>
      </c>
      <c r="D37" t="s">
        <v>232</v>
      </c>
      <c r="E37" t="s">
        <v>130</v>
      </c>
      <c r="F37" t="n">
        <v>77.8634369255264</v>
      </c>
      <c r="G37" t="n">
        <v>94.5347445109182</v>
      </c>
      <c r="H37" t="n">
        <v>112.529899382392</v>
      </c>
      <c r="I37" t="n">
        <v>124.397404480179</v>
      </c>
      <c r="J37" t="n">
        <v>140.507043059568</v>
      </c>
      <c r="K37" t="n">
        <v>145.051207188036</v>
      </c>
      <c r="L37" t="n">
        <v>148.738079508077</v>
      </c>
      <c r="M37" t="n">
        <v>148.9730006513</v>
      </c>
      <c r="N37" t="n">
        <v>151.0023178716</v>
      </c>
      <c r="O37" t="n">
        <v>148.634726299603</v>
      </c>
      <c r="P37" t="n">
        <v>150.490715466508</v>
      </c>
      <c r="Q37" t="n">
        <v>154.147908492956</v>
      </c>
      <c r="R37" t="n">
        <v>156.019226014576</v>
      </c>
      <c r="S37" t="n">
        <v>156.241717947332</v>
      </c>
      <c r="T37" t="n">
        <v>143.13120539845</v>
      </c>
      <c r="U37" t="n">
        <v>136.678367542496</v>
      </c>
      <c r="V37" t="n">
        <v>134.059554959239</v>
      </c>
      <c r="W37" t="n">
        <v>127.12949342587</v>
      </c>
      <c r="X37" t="n">
        <v>125.467549596101</v>
      </c>
      <c r="Y37" t="n">
        <v>124.735606314397</v>
      </c>
      <c r="Z37" t="n">
        <v>122.723530453316</v>
      </c>
      <c r="AA37" t="n">
        <v>120.293247696876</v>
      </c>
      <c r="AB37" t="n">
        <v>114.924829006243</v>
      </c>
      <c r="AC37" t="n">
        <v>108.806593585831</v>
      </c>
      <c r="AD37" t="n">
        <v>104.851434552533</v>
      </c>
      <c r="AE37" t="n">
        <v>100</v>
      </c>
      <c r="AF37" t="n">
        <v>95.6826147434726</v>
      </c>
    </row>
    <row r="38">
      <c r="A38" t="s">
        <v>29</v>
      </c>
      <c r="B38" t="s">
        <v>233</v>
      </c>
      <c r="C38" t="s">
        <v>129</v>
      </c>
      <c r="D38" t="s">
        <v>234</v>
      </c>
      <c r="E38" t="s">
        <v>130</v>
      </c>
      <c r="F38" t="n">
        <v>35.5214934692814</v>
      </c>
      <c r="G38" t="n">
        <v>40.8047041899402</v>
      </c>
      <c r="H38" t="n">
        <v>46.9530646733197</v>
      </c>
      <c r="I38" t="n">
        <v>50.8780734477783</v>
      </c>
      <c r="J38" t="n">
        <v>55.5639285973648</v>
      </c>
      <c r="K38" t="n">
        <v>58.7693797501522</v>
      </c>
      <c r="L38" t="n">
        <v>60.1427425923337</v>
      </c>
      <c r="M38" t="n">
        <v>61.4808790573682</v>
      </c>
      <c r="N38" t="n">
        <v>68.6659936194463</v>
      </c>
      <c r="O38" t="n">
        <v>71.7725500379135</v>
      </c>
      <c r="P38" t="n">
        <v>73.5557253519158</v>
      </c>
      <c r="Q38" t="n">
        <v>78.071453100988</v>
      </c>
      <c r="R38" t="n">
        <v>83.3513641728906</v>
      </c>
      <c r="S38" t="n">
        <v>86.4898674087593</v>
      </c>
      <c r="T38" t="n">
        <v>88.5236152267184</v>
      </c>
      <c r="U38" t="n">
        <v>88.5459242932088</v>
      </c>
      <c r="V38" t="n">
        <v>89.4536320067479</v>
      </c>
      <c r="W38" t="n">
        <v>91.3796255891875</v>
      </c>
      <c r="X38" t="n">
        <v>93.1144548304188</v>
      </c>
      <c r="Y38" t="n">
        <v>93.0613176389448</v>
      </c>
      <c r="Z38" t="n">
        <v>93.4089862025986</v>
      </c>
      <c r="AA38" t="n">
        <v>94.7675191780145</v>
      </c>
      <c r="AB38" t="n">
        <v>95.3352739413609</v>
      </c>
      <c r="AC38" t="n">
        <v>95.8926609103191</v>
      </c>
      <c r="AD38" t="n">
        <v>98.3154566100707</v>
      </c>
      <c r="AE38" t="n">
        <v>100</v>
      </c>
      <c r="AF38" t="n">
        <v>102.023421728343</v>
      </c>
    </row>
    <row r="39">
      <c r="A39" t="s">
        <v>29</v>
      </c>
      <c r="B39" t="s">
        <v>235</v>
      </c>
      <c r="C39" t="s">
        <v>129</v>
      </c>
      <c r="D39" t="s">
        <v>236</v>
      </c>
      <c r="E39" t="s">
        <v>130</v>
      </c>
      <c r="F39" t="n">
        <v>17.4709150778385</v>
      </c>
      <c r="G39" t="n">
        <v>24.4384495454954</v>
      </c>
      <c r="H39" t="n">
        <v>32.0003472167176</v>
      </c>
      <c r="I39" t="n">
        <v>37.2719029335542</v>
      </c>
      <c r="J39" t="n">
        <v>42.9138623908662</v>
      </c>
      <c r="K39" t="n">
        <v>45.290319121725</v>
      </c>
      <c r="L39" t="n">
        <v>49.0886966743495</v>
      </c>
      <c r="M39" t="n">
        <v>52.7890294597993</v>
      </c>
      <c r="N39" t="n">
        <v>55.8722336496146</v>
      </c>
      <c r="O39" t="n">
        <v>57.645308307621</v>
      </c>
      <c r="P39" t="n">
        <v>63.6442502867516</v>
      </c>
      <c r="Q39" t="n">
        <v>70.8835853918984</v>
      </c>
      <c r="R39" t="n">
        <v>73.4588202467648</v>
      </c>
      <c r="S39" t="n">
        <v>75.1849242716746</v>
      </c>
      <c r="T39" t="n">
        <v>79.9373130670113</v>
      </c>
      <c r="U39" t="n">
        <v>83.7794163031221</v>
      </c>
      <c r="V39" t="n">
        <v>87.4804007613053</v>
      </c>
      <c r="W39" t="n">
        <v>87.9770978139921</v>
      </c>
      <c r="X39" t="n">
        <v>89.5708598456044</v>
      </c>
      <c r="Y39" t="n">
        <v>94.7412311690698</v>
      </c>
      <c r="Z39" t="n">
        <v>92.952422018254</v>
      </c>
      <c r="AA39" t="n">
        <v>91.6178749278778</v>
      </c>
      <c r="AB39" t="n">
        <v>94.5654157413766</v>
      </c>
      <c r="AC39" t="n">
        <v>96.5999529531684</v>
      </c>
      <c r="AD39" t="n">
        <v>97.9481632126351</v>
      </c>
      <c r="AE39" t="n">
        <v>100</v>
      </c>
      <c r="AF39" t="n">
        <v>103.335608006096</v>
      </c>
    </row>
    <row r="40">
      <c r="A40" t="s">
        <v>29</v>
      </c>
      <c r="B40" t="s">
        <v>237</v>
      </c>
      <c r="C40" t="s">
        <v>129</v>
      </c>
      <c r="D40" t="s">
        <v>238</v>
      </c>
      <c r="E40" t="s">
        <v>130</v>
      </c>
      <c r="F40" t="n">
        <v>16.6776564912983</v>
      </c>
      <c r="G40" t="n">
        <v>21.2226556102245</v>
      </c>
      <c r="H40" t="n">
        <v>26.223709107202</v>
      </c>
      <c r="I40" t="n">
        <v>31.2769679665552</v>
      </c>
      <c r="J40" t="n">
        <v>35.9442828501133</v>
      </c>
      <c r="K40" t="n">
        <v>40.7377450778494</v>
      </c>
      <c r="L40" t="n">
        <v>45.2812970482649</v>
      </c>
      <c r="M40" t="n">
        <v>48.7870008322218</v>
      </c>
      <c r="N40" t="n">
        <v>49.9514680618847</v>
      </c>
      <c r="O40" t="n">
        <v>52.1013085414255</v>
      </c>
      <c r="P40" t="n">
        <v>53.7632177579566</v>
      </c>
      <c r="Q40" t="n">
        <v>56.1396417097956</v>
      </c>
      <c r="R40" t="n">
        <v>59.5842063534426</v>
      </c>
      <c r="S40" t="n">
        <v>62.4274035939164</v>
      </c>
      <c r="T40" t="n">
        <v>65.6717280152655</v>
      </c>
      <c r="U40" t="n">
        <v>67.8293672110031</v>
      </c>
      <c r="V40" t="n">
        <v>66.3356844506292</v>
      </c>
      <c r="W40" t="n">
        <v>65.6208842094314</v>
      </c>
      <c r="X40" t="n">
        <v>66.5105831077991</v>
      </c>
      <c r="Y40" t="n">
        <v>68.4434036491329</v>
      </c>
      <c r="Z40" t="n">
        <v>71.8840909822327</v>
      </c>
      <c r="AA40" t="n">
        <v>75.7896731888535</v>
      </c>
      <c r="AB40" t="n">
        <v>80.7471801327715</v>
      </c>
      <c r="AC40" t="n">
        <v>86.9922035241204</v>
      </c>
      <c r="AD40" t="n">
        <v>96.6328319248527</v>
      </c>
      <c r="AE40" t="n">
        <v>100</v>
      </c>
      <c r="AF40" t="n">
        <v>111.658925961559</v>
      </c>
    </row>
    <row r="41">
      <c r="A41" t="s">
        <v>29</v>
      </c>
      <c r="B41" t="s">
        <v>239</v>
      </c>
      <c r="C41" t="s">
        <v>129</v>
      </c>
      <c r="D41" t="s">
        <v>240</v>
      </c>
      <c r="E41" t="s">
        <v>130</v>
      </c>
      <c r="F41" t="n">
        <v>17.3128222425892</v>
      </c>
      <c r="G41" t="n">
        <v>22.1133420880574</v>
      </c>
      <c r="H41" t="n">
        <v>26.5604894949197</v>
      </c>
      <c r="I41" t="n">
        <v>30.0005774798586</v>
      </c>
      <c r="J41" t="n">
        <v>33.2507462179659</v>
      </c>
      <c r="K41" t="n">
        <v>36.7533207482611</v>
      </c>
      <c r="L41" t="n">
        <v>40.3906780072646</v>
      </c>
      <c r="M41" t="n">
        <v>42.6683358393774</v>
      </c>
      <c r="N41" t="n">
        <v>43.2866707951254</v>
      </c>
      <c r="O41" t="n">
        <v>45.2082175779836</v>
      </c>
      <c r="P41" t="n">
        <v>47.4841426065017</v>
      </c>
      <c r="Q41" t="n">
        <v>50.9253536683779</v>
      </c>
      <c r="R41" t="n">
        <v>53.3071838155084</v>
      </c>
      <c r="S41" t="n">
        <v>56.391306953617</v>
      </c>
      <c r="T41" t="n">
        <v>61.1840294328764</v>
      </c>
      <c r="U41" t="n">
        <v>62.0916985242397</v>
      </c>
      <c r="V41" t="n">
        <v>60.6946640820539</v>
      </c>
      <c r="W41" t="n">
        <v>60.5920618460813</v>
      </c>
      <c r="X41" t="n">
        <v>61.4747579005305</v>
      </c>
      <c r="Y41" t="n">
        <v>63.9192439972339</v>
      </c>
      <c r="Z41" t="n">
        <v>68.2161986899019</v>
      </c>
      <c r="AA41" t="n">
        <v>72.5044735218816</v>
      </c>
      <c r="AB41" t="n">
        <v>78.8221400794361</v>
      </c>
      <c r="AC41" t="n">
        <v>86.5110426482724</v>
      </c>
      <c r="AD41" t="n">
        <v>97.0052123501078</v>
      </c>
      <c r="AE41" t="n">
        <v>100</v>
      </c>
      <c r="AF41" t="n">
        <v>115.461656379689</v>
      </c>
    </row>
    <row r="42">
      <c r="A42" t="s">
        <v>29</v>
      </c>
      <c r="B42" t="s">
        <v>241</v>
      </c>
      <c r="C42" t="s">
        <v>129</v>
      </c>
      <c r="D42" t="s">
        <v>242</v>
      </c>
      <c r="E42" t="s">
        <v>130</v>
      </c>
      <c r="F42" t="n">
        <v>26.4763741026638</v>
      </c>
      <c r="G42" t="n">
        <v>31.780928392503</v>
      </c>
      <c r="H42" t="n">
        <v>37.6327828608903</v>
      </c>
      <c r="I42" t="n">
        <v>42.0078700180637</v>
      </c>
      <c r="J42" t="n">
        <v>46.428002884052</v>
      </c>
      <c r="K42" t="n">
        <v>50.739382733358</v>
      </c>
      <c r="L42" t="n">
        <v>55.3703039791455</v>
      </c>
      <c r="M42" t="n">
        <v>57.6081061207512</v>
      </c>
      <c r="N42" t="n">
        <v>62.9298917371997</v>
      </c>
      <c r="O42" t="n">
        <v>68.0593598576085</v>
      </c>
      <c r="P42" t="n">
        <v>71.7475143938383</v>
      </c>
      <c r="Q42" t="n">
        <v>76.5691073163374</v>
      </c>
      <c r="R42" t="n">
        <v>80.5775782038316</v>
      </c>
      <c r="S42" t="n">
        <v>84.9455554695289</v>
      </c>
      <c r="T42" t="n">
        <v>86.6884731192935</v>
      </c>
      <c r="U42" t="n">
        <v>89.0623066768869</v>
      </c>
      <c r="V42" t="n">
        <v>90.4801721268862</v>
      </c>
      <c r="W42" t="n">
        <v>91.1713177599018</v>
      </c>
      <c r="X42" t="n">
        <v>91.0172427701521</v>
      </c>
      <c r="Y42" t="n">
        <v>91.1545153216278</v>
      </c>
      <c r="Z42" t="n">
        <v>92.5243209367227</v>
      </c>
      <c r="AA42" t="n">
        <v>93.1603537869572</v>
      </c>
      <c r="AB42" t="n">
        <v>94.2192747941753</v>
      </c>
      <c r="AC42" t="n">
        <v>95.5661223083624</v>
      </c>
      <c r="AD42" t="n">
        <v>98.3156702863156</v>
      </c>
      <c r="AE42" t="n">
        <v>100</v>
      </c>
      <c r="AF42" t="n">
        <v>103.100238945527</v>
      </c>
    </row>
    <row r="43">
      <c r="A43" t="s">
        <v>29</v>
      </c>
      <c r="B43" t="s">
        <v>243</v>
      </c>
      <c r="C43" t="s">
        <v>129</v>
      </c>
      <c r="D43" t="s">
        <v>244</v>
      </c>
      <c r="E43" t="s">
        <v>130</v>
      </c>
      <c r="F43" t="n">
        <v>25.7829226407928</v>
      </c>
      <c r="G43" t="n">
        <v>30.9629243811734</v>
      </c>
      <c r="H43" t="n">
        <v>36.6060085812858</v>
      </c>
      <c r="I43" t="n">
        <v>40.7916781085849</v>
      </c>
      <c r="J43" t="n">
        <v>45.230857981076</v>
      </c>
      <c r="K43" t="n">
        <v>49.7309503215591</v>
      </c>
      <c r="L43" t="n">
        <v>53.8487818159433</v>
      </c>
      <c r="M43" t="n">
        <v>56.0639478180119</v>
      </c>
      <c r="N43" t="n">
        <v>59.8528933091418</v>
      </c>
      <c r="O43" t="n">
        <v>64.2032259587477</v>
      </c>
      <c r="P43" t="n">
        <v>67.5935593571657</v>
      </c>
      <c r="Q43" t="n">
        <v>72.2879558600861</v>
      </c>
      <c r="R43" t="n">
        <v>76.5368787816421</v>
      </c>
      <c r="S43" t="n">
        <v>81.61118011542</v>
      </c>
      <c r="T43" t="n">
        <v>83.2768341683863</v>
      </c>
      <c r="U43" t="n">
        <v>85.4412310124506</v>
      </c>
      <c r="V43" t="n">
        <v>87.4997654348607</v>
      </c>
      <c r="W43" t="n">
        <v>87.9480606553856</v>
      </c>
      <c r="X43" t="n">
        <v>88.4981814764421</v>
      </c>
      <c r="Y43" t="n">
        <v>88.743920211166</v>
      </c>
      <c r="Z43" t="n">
        <v>89.9988690952587</v>
      </c>
      <c r="AA43" t="n">
        <v>91.1346154465299</v>
      </c>
      <c r="AB43" t="n">
        <v>92.6972753074128</v>
      </c>
      <c r="AC43" t="n">
        <v>94.5554100856382</v>
      </c>
      <c r="AD43" t="n">
        <v>97.9751788525888</v>
      </c>
      <c r="AE43" t="n">
        <v>100</v>
      </c>
      <c r="AF43" t="n">
        <v>103.256890273764</v>
      </c>
    </row>
    <row r="44">
      <c r="A44" t="s">
        <v>29</v>
      </c>
      <c r="B44" t="s">
        <v>245</v>
      </c>
      <c r="C44" t="s">
        <v>129</v>
      </c>
      <c r="D44" t="s">
        <v>246</v>
      </c>
      <c r="E44" t="s">
        <v>130</v>
      </c>
      <c r="F44" t="n">
        <v>31.3522574951873</v>
      </c>
      <c r="G44" t="n">
        <v>37.8218156419162</v>
      </c>
      <c r="H44" t="n">
        <v>44.4805437163515</v>
      </c>
      <c r="I44" t="n">
        <v>49.156679442014</v>
      </c>
      <c r="J44" t="n">
        <v>52.9622614264792</v>
      </c>
      <c r="K44" t="n">
        <v>57.5969196334243</v>
      </c>
      <c r="L44" t="n">
        <v>60.1878019380729</v>
      </c>
      <c r="M44" t="n">
        <v>60.2851039722864</v>
      </c>
      <c r="N44" t="n">
        <v>61.9859568548941</v>
      </c>
      <c r="O44" t="n">
        <v>63.6910654538072</v>
      </c>
      <c r="P44" t="n">
        <v>66.3465009268872</v>
      </c>
      <c r="Q44" t="n">
        <v>70.5968983938612</v>
      </c>
      <c r="R44" t="n">
        <v>73.4307861494668</v>
      </c>
      <c r="S44" t="n">
        <v>76.1128623834037</v>
      </c>
      <c r="T44" t="n">
        <v>78.2557520809336</v>
      </c>
      <c r="U44" t="n">
        <v>80.7753662931337</v>
      </c>
      <c r="V44" t="n">
        <v>84.4854704603466</v>
      </c>
      <c r="W44" t="n">
        <v>87.328040718604</v>
      </c>
      <c r="X44" t="n">
        <v>87.8377898173242</v>
      </c>
      <c r="Y44" t="n">
        <v>88.3457344290202</v>
      </c>
      <c r="Z44" t="n">
        <v>88.610578314508</v>
      </c>
      <c r="AA44" t="n">
        <v>88.8138881409768</v>
      </c>
      <c r="AB44" t="n">
        <v>90.8045059029411</v>
      </c>
      <c r="AC44" t="n">
        <v>93.8067729959702</v>
      </c>
      <c r="AD44" t="n">
        <v>96.8078575031969</v>
      </c>
      <c r="AE44" t="n">
        <v>100</v>
      </c>
      <c r="AF44" t="n">
        <v>107.873680583397</v>
      </c>
    </row>
    <row r="45">
      <c r="A45" t="s">
        <v>29</v>
      </c>
      <c r="B45" t="s">
        <v>247</v>
      </c>
      <c r="C45" t="s">
        <v>129</v>
      </c>
      <c r="D45" t="s">
        <v>248</v>
      </c>
      <c r="E45" t="s">
        <v>130</v>
      </c>
      <c r="F45" t="n">
        <v>31.3362222800855</v>
      </c>
      <c r="G45" t="n">
        <v>37.7131458972585</v>
      </c>
      <c r="H45" t="n">
        <v>44.5353420449207</v>
      </c>
      <c r="I45" t="n">
        <v>49.4049049513716</v>
      </c>
      <c r="J45" t="n">
        <v>53.4660617553032</v>
      </c>
      <c r="K45" t="n">
        <v>57.8586651926586</v>
      </c>
      <c r="L45" t="n">
        <v>60.384916661493</v>
      </c>
      <c r="M45" t="n">
        <v>60.2180993654645</v>
      </c>
      <c r="N45" t="n">
        <v>61.9461779944641</v>
      </c>
      <c r="O45" t="n">
        <v>63.9550809914297</v>
      </c>
      <c r="P45" t="n">
        <v>66.7524787858135</v>
      </c>
      <c r="Q45" t="n">
        <v>70.961976616503</v>
      </c>
      <c r="R45" t="n">
        <v>73.4158951085169</v>
      </c>
      <c r="S45" t="n">
        <v>76.6630368152507</v>
      </c>
      <c r="T45" t="n">
        <v>79.1736849718107</v>
      </c>
      <c r="U45" t="n">
        <v>81.3408179806345</v>
      </c>
      <c r="V45" t="n">
        <v>84.6728414355274</v>
      </c>
      <c r="W45" t="n">
        <v>87.0558759341013</v>
      </c>
      <c r="X45" t="n">
        <v>87.7852638447311</v>
      </c>
      <c r="Y45" t="n">
        <v>88.5410809146453</v>
      </c>
      <c r="Z45" t="n">
        <v>88.7250766889531</v>
      </c>
      <c r="AA45" t="n">
        <v>89.1041696369065</v>
      </c>
      <c r="AB45" t="n">
        <v>90.9251803142272</v>
      </c>
      <c r="AC45" t="n">
        <v>94.0016855645313</v>
      </c>
      <c r="AD45" t="n">
        <v>96.939087637536</v>
      </c>
      <c r="AE45" t="n">
        <v>100</v>
      </c>
      <c r="AF45" t="n">
        <v>107.504300033378</v>
      </c>
    </row>
    <row r="46">
      <c r="A46" t="s">
        <v>29</v>
      </c>
      <c r="B46" t="s">
        <v>249</v>
      </c>
      <c r="C46" t="s">
        <v>129</v>
      </c>
      <c r="D46" t="s">
        <v>250</v>
      </c>
      <c r="E46" t="s">
        <v>130</v>
      </c>
      <c r="F46" t="n">
        <v>24.7174706963883</v>
      </c>
      <c r="G46" t="n">
        <v>29.7068080280476</v>
      </c>
      <c r="H46" t="n">
        <v>35.0156300785324</v>
      </c>
      <c r="I46" t="n">
        <v>38.8975738533408</v>
      </c>
      <c r="J46" t="n">
        <v>43.3820312696699</v>
      </c>
      <c r="K46" t="n">
        <v>48.1992687214571</v>
      </c>
      <c r="L46" t="n">
        <v>51.5018818359022</v>
      </c>
      <c r="M46" t="n">
        <v>53.6846750540951</v>
      </c>
      <c r="N46" t="n">
        <v>55.1951410746378</v>
      </c>
      <c r="O46" t="n">
        <v>58.4058233492851</v>
      </c>
      <c r="P46" t="n">
        <v>61.35492534651</v>
      </c>
      <c r="Q46" t="n">
        <v>65.8517699925777</v>
      </c>
      <c r="R46" t="n">
        <v>70.4539724446428</v>
      </c>
      <c r="S46" t="n">
        <v>76.5775453244768</v>
      </c>
      <c r="T46" t="n">
        <v>78.1269703522092</v>
      </c>
      <c r="U46" t="n">
        <v>79.9740323058414</v>
      </c>
      <c r="V46" t="n">
        <v>82.9681794296567</v>
      </c>
      <c r="W46" t="n">
        <v>83.070393040685</v>
      </c>
      <c r="X46" t="n">
        <v>84.6564049502213</v>
      </c>
      <c r="Y46" t="n">
        <v>85.0578002106054</v>
      </c>
      <c r="Z46" t="n">
        <v>86.1454303246521</v>
      </c>
      <c r="AA46" t="n">
        <v>88.0007271279963</v>
      </c>
      <c r="AB46" t="n">
        <v>90.2820313790654</v>
      </c>
      <c r="AC46" t="n">
        <v>92.8777819664949</v>
      </c>
      <c r="AD46" t="n">
        <v>97.3249866455629</v>
      </c>
      <c r="AE46" t="n">
        <v>100</v>
      </c>
      <c r="AF46" t="n">
        <v>103.534083436705</v>
      </c>
    </row>
    <row r="47">
      <c r="A47" t="s">
        <v>29</v>
      </c>
      <c r="B47" t="s">
        <v>251</v>
      </c>
      <c r="C47" t="s">
        <v>129</v>
      </c>
      <c r="D47" t="s">
        <v>252</v>
      </c>
      <c r="E47" t="s">
        <v>130</v>
      </c>
      <c r="F47" t="n">
        <v>20.7487795492319</v>
      </c>
      <c r="G47" t="n">
        <v>24.8624349412205</v>
      </c>
      <c r="H47" t="n">
        <v>30.1134156418797</v>
      </c>
      <c r="I47" t="n">
        <v>35.2143661879774</v>
      </c>
      <c r="J47" t="n">
        <v>39.9001885633502</v>
      </c>
      <c r="K47" t="n">
        <v>44.3134516554751</v>
      </c>
      <c r="L47" t="n">
        <v>50.0365589507264</v>
      </c>
      <c r="M47" t="n">
        <v>55.7516779314059</v>
      </c>
      <c r="N47" t="n">
        <v>59.0910644433457</v>
      </c>
      <c r="O47" t="n">
        <v>62.3895549292985</v>
      </c>
      <c r="P47" t="n">
        <v>66.1717502556046</v>
      </c>
      <c r="Q47" t="n">
        <v>70.4369995245842</v>
      </c>
      <c r="R47" t="n">
        <v>72.5694921281032</v>
      </c>
      <c r="S47" t="n">
        <v>77.8114902153711</v>
      </c>
      <c r="T47" t="n">
        <v>77.6427920057475</v>
      </c>
      <c r="U47" t="n">
        <v>76.9569607820614</v>
      </c>
      <c r="V47" t="n">
        <v>76.3174191353017</v>
      </c>
      <c r="W47" t="n">
        <v>75.1068127318957</v>
      </c>
      <c r="X47" t="n">
        <v>75.8982735186938</v>
      </c>
      <c r="Y47" t="n">
        <v>76.6942406598885</v>
      </c>
      <c r="Z47" t="n">
        <v>77.4153143956218</v>
      </c>
      <c r="AA47" t="n">
        <v>81.1687060474266</v>
      </c>
      <c r="AB47" t="n">
        <v>86.4353450928311</v>
      </c>
      <c r="AC47" t="n">
        <v>90.7625515348253</v>
      </c>
      <c r="AD47" t="n">
        <v>97.6849183195733</v>
      </c>
      <c r="AE47" t="n">
        <v>100</v>
      </c>
      <c r="AF47" t="n">
        <v>107.330330925811</v>
      </c>
    </row>
    <row r="48">
      <c r="A48" t="s">
        <v>29</v>
      </c>
      <c r="B48" t="s">
        <v>253</v>
      </c>
      <c r="C48" t="s">
        <v>129</v>
      </c>
      <c r="D48" t="s">
        <v>254</v>
      </c>
      <c r="E48" t="s">
        <v>130</v>
      </c>
      <c r="F48" t="n">
        <v>20.4913107231067</v>
      </c>
      <c r="G48" t="n">
        <v>24.2051689864611</v>
      </c>
      <c r="H48" t="n">
        <v>29.0089370648683</v>
      </c>
      <c r="I48" t="n">
        <v>33.3103212371698</v>
      </c>
      <c r="J48" t="n">
        <v>37.305683878157</v>
      </c>
      <c r="K48" t="n">
        <v>40.4786833177313</v>
      </c>
      <c r="L48" t="n">
        <v>45.0136294682734</v>
      </c>
      <c r="M48" t="n">
        <v>50.1751185156542</v>
      </c>
      <c r="N48" t="n">
        <v>55.1011134814053</v>
      </c>
      <c r="O48" t="n">
        <v>57.5326090750063</v>
      </c>
      <c r="P48" t="n">
        <v>60.4692753478733</v>
      </c>
      <c r="Q48" t="n">
        <v>63.3035626696843</v>
      </c>
      <c r="R48" t="n">
        <v>64.897143531913</v>
      </c>
      <c r="S48" t="n">
        <v>68.8021501528513</v>
      </c>
      <c r="T48" t="n">
        <v>68.5336138891347</v>
      </c>
      <c r="U48" t="n">
        <v>68.8338446031791</v>
      </c>
      <c r="V48" t="n">
        <v>68.4019488135091</v>
      </c>
      <c r="W48" t="n">
        <v>69.1415330488266</v>
      </c>
      <c r="X48" t="n">
        <v>69.415253199621</v>
      </c>
      <c r="Y48" t="n">
        <v>72.5894906333458</v>
      </c>
      <c r="Z48" t="n">
        <v>74.80749720474</v>
      </c>
      <c r="AA48" t="n">
        <v>78.1297284294935</v>
      </c>
      <c r="AB48" t="n">
        <v>82.9306589925924</v>
      </c>
      <c r="AC48" t="n">
        <v>87.6262599798368</v>
      </c>
      <c r="AD48" t="n">
        <v>93.0229716797785</v>
      </c>
      <c r="AE48" t="n">
        <v>100</v>
      </c>
      <c r="AF48" t="n">
        <v>108.739032498194</v>
      </c>
    </row>
    <row r="49">
      <c r="A49" t="s">
        <v>29</v>
      </c>
      <c r="B49" t="s">
        <v>255</v>
      </c>
      <c r="C49" t="s">
        <v>129</v>
      </c>
      <c r="D49" t="s">
        <v>256</v>
      </c>
      <c r="E49" t="s">
        <v>130</v>
      </c>
      <c r="F49" t="n">
        <v>20.1897520745324</v>
      </c>
      <c r="G49" t="n">
        <v>23.0590373316491</v>
      </c>
      <c r="H49" t="n">
        <v>27.4819333866902</v>
      </c>
      <c r="I49" t="n">
        <v>30.9484616690457</v>
      </c>
      <c r="J49" t="n">
        <v>34.9265747036099</v>
      </c>
      <c r="K49" t="n">
        <v>36.8463441203287</v>
      </c>
      <c r="L49" t="n">
        <v>40.5891381871201</v>
      </c>
      <c r="M49" t="n">
        <v>46.1934263424825</v>
      </c>
      <c r="N49" t="n">
        <v>54.1775229453997</v>
      </c>
      <c r="O49" t="n">
        <v>56.5767318183506</v>
      </c>
      <c r="P49" t="n">
        <v>60.5980788205359</v>
      </c>
      <c r="Q49" t="n">
        <v>63.6270307503182</v>
      </c>
      <c r="R49" t="n">
        <v>63.2432457411393</v>
      </c>
      <c r="S49" t="n">
        <v>66.4243749401868</v>
      </c>
      <c r="T49" t="n">
        <v>65.7843727756856</v>
      </c>
      <c r="U49" t="n">
        <v>66.1611010713286</v>
      </c>
      <c r="V49" t="n">
        <v>64.9639167713932</v>
      </c>
      <c r="W49" t="n">
        <v>64.739258365248</v>
      </c>
      <c r="X49" t="n">
        <v>62.2487623388713</v>
      </c>
      <c r="Y49" t="n">
        <v>73.8454883441022</v>
      </c>
      <c r="Z49" t="n">
        <v>79.4232223032687</v>
      </c>
      <c r="AA49" t="n">
        <v>84.1793024420816</v>
      </c>
      <c r="AB49" t="n">
        <v>88.0978803766696</v>
      </c>
      <c r="AC49" t="n">
        <v>92.3471167050725</v>
      </c>
      <c r="AD49" t="n">
        <v>97.9171355896922</v>
      </c>
      <c r="AE49" t="n">
        <v>100</v>
      </c>
      <c r="AF49" t="n">
        <v>109.491005646548</v>
      </c>
    </row>
    <row r="50">
      <c r="A50" t="s">
        <v>29</v>
      </c>
      <c r="B50" t="s">
        <v>257</v>
      </c>
      <c r="C50" t="s">
        <v>129</v>
      </c>
      <c r="D50" t="s">
        <v>258</v>
      </c>
      <c r="E50" t="s">
        <v>130</v>
      </c>
      <c r="F50" t="n">
        <v>20.4112390213774</v>
      </c>
      <c r="G50" t="n">
        <v>24.2936728655046</v>
      </c>
      <c r="H50" t="n">
        <v>28.7545291271867</v>
      </c>
      <c r="I50" t="n">
        <v>32.6177101807018</v>
      </c>
      <c r="J50" t="n">
        <v>35.5524437411057</v>
      </c>
      <c r="K50" t="n">
        <v>38.0581343256691</v>
      </c>
      <c r="L50" t="n">
        <v>41.5888323922364</v>
      </c>
      <c r="M50" t="n">
        <v>45.4945205759209</v>
      </c>
      <c r="N50" t="n">
        <v>49.7798411948437</v>
      </c>
      <c r="O50" t="n">
        <v>51.0698428556737</v>
      </c>
      <c r="P50" t="n">
        <v>52.0197950222829</v>
      </c>
      <c r="Q50" t="n">
        <v>52.8570876783123</v>
      </c>
      <c r="R50" t="n">
        <v>55.3608378381222</v>
      </c>
      <c r="S50" t="n">
        <v>58.042613069245</v>
      </c>
      <c r="T50" t="n">
        <v>57.9392159336357</v>
      </c>
      <c r="U50" t="n">
        <v>59.4874862019415</v>
      </c>
      <c r="V50" t="n">
        <v>59.9263092692227</v>
      </c>
      <c r="W50" t="n">
        <v>63.9247520854501</v>
      </c>
      <c r="X50" t="n">
        <v>65.5856832567671</v>
      </c>
      <c r="Y50" t="n">
        <v>65.9881981869737</v>
      </c>
      <c r="Z50" t="n">
        <v>67.9929646257689</v>
      </c>
      <c r="AA50" t="n">
        <v>69.7461392651131</v>
      </c>
      <c r="AB50" t="n">
        <v>74.4892525811346</v>
      </c>
      <c r="AC50" t="n">
        <v>79.9918973570888</v>
      </c>
      <c r="AD50" t="n">
        <v>83.1344113495745</v>
      </c>
      <c r="AE50" t="n">
        <v>100</v>
      </c>
      <c r="AF50" t="n">
        <v>110.188521696247</v>
      </c>
    </row>
    <row r="51">
      <c r="A51" t="s">
        <v>29</v>
      </c>
      <c r="B51" t="s">
        <v>259</v>
      </c>
      <c r="C51" t="s">
        <v>129</v>
      </c>
      <c r="D51" t="s">
        <v>260</v>
      </c>
      <c r="E51" t="s">
        <v>130</v>
      </c>
      <c r="F51" t="n">
        <v>20.2897013145665</v>
      </c>
      <c r="G51" t="n">
        <v>24.1588156807673</v>
      </c>
      <c r="H51" t="n">
        <v>28.589106672973</v>
      </c>
      <c r="I51" t="n">
        <v>32.515733601378</v>
      </c>
      <c r="J51" t="n">
        <v>35.4920771176397</v>
      </c>
      <c r="K51" t="n">
        <v>38.0279810306604</v>
      </c>
      <c r="L51" t="n">
        <v>41.3571363446947</v>
      </c>
      <c r="M51" t="n">
        <v>45.1996659847059</v>
      </c>
      <c r="N51" t="n">
        <v>48.9606235360575</v>
      </c>
      <c r="O51" t="n">
        <v>49.7220673605906</v>
      </c>
      <c r="P51" t="n">
        <v>50.1315587308545</v>
      </c>
      <c r="Q51" t="n">
        <v>50.5675885961205</v>
      </c>
      <c r="R51" t="n">
        <v>53.3572388374754</v>
      </c>
      <c r="S51" t="n">
        <v>55.6141816895685</v>
      </c>
      <c r="T51" t="n">
        <v>55.7833664194163</v>
      </c>
      <c r="U51" t="n">
        <v>57.597464491438</v>
      </c>
      <c r="V51" t="n">
        <v>58.2547255518845</v>
      </c>
      <c r="W51" t="n">
        <v>62.3484386402537</v>
      </c>
      <c r="X51" t="n">
        <v>64.0232856262</v>
      </c>
      <c r="Y51" t="n">
        <v>64.3372923266611</v>
      </c>
      <c r="Z51" t="n">
        <v>66.3471739043387</v>
      </c>
      <c r="AA51" t="n">
        <v>68.112558599712</v>
      </c>
      <c r="AB51" t="n">
        <v>72.509820930762</v>
      </c>
      <c r="AC51" t="n">
        <v>77.779980710987</v>
      </c>
      <c r="AD51" t="n">
        <v>80.2199828765602</v>
      </c>
      <c r="AE51" t="n">
        <v>100</v>
      </c>
      <c r="AF51" t="n">
        <v>110.410750869754</v>
      </c>
    </row>
    <row r="52">
      <c r="A52" t="s">
        <v>29</v>
      </c>
      <c r="B52" t="s">
        <v>261</v>
      </c>
      <c r="C52" t="s">
        <v>129</v>
      </c>
      <c r="D52" t="s">
        <v>262</v>
      </c>
      <c r="E52" t="s">
        <v>130</v>
      </c>
      <c r="F52" t="n">
        <v>20.5252158404942</v>
      </c>
      <c r="G52" t="n">
        <v>24.3851659227369</v>
      </c>
      <c r="H52" t="n">
        <v>28.8874254928889</v>
      </c>
      <c r="I52" t="n">
        <v>32.4154641496758</v>
      </c>
      <c r="J52" t="n">
        <v>35.1159548114804</v>
      </c>
      <c r="K52" t="n">
        <v>37.4399456955866</v>
      </c>
      <c r="L52" t="n">
        <v>41.768271853822</v>
      </c>
      <c r="M52" t="n">
        <v>45.8680820414174</v>
      </c>
      <c r="N52" t="n">
        <v>52.312853934704</v>
      </c>
      <c r="O52" t="n">
        <v>55.7862085971337</v>
      </c>
      <c r="P52" t="n">
        <v>59.024230878319</v>
      </c>
      <c r="Q52" t="n">
        <v>61.5409298910823</v>
      </c>
      <c r="R52" t="n">
        <v>62.9560513922306</v>
      </c>
      <c r="S52" t="n">
        <v>67.3170831162383</v>
      </c>
      <c r="T52" t="n">
        <v>66.1397301840141</v>
      </c>
      <c r="U52" t="n">
        <v>66.6402884930367</v>
      </c>
      <c r="V52" t="n">
        <v>66.2162703721221</v>
      </c>
      <c r="W52" t="n">
        <v>69.7752898975996</v>
      </c>
      <c r="X52" t="n">
        <v>71.3701086654525</v>
      </c>
      <c r="Y52" t="n">
        <v>72.108032547882</v>
      </c>
      <c r="Z52" t="n">
        <v>74.0789564959096</v>
      </c>
      <c r="AA52" t="n">
        <v>75.7581355094775</v>
      </c>
      <c r="AB52" t="n">
        <v>81.8521684901187</v>
      </c>
      <c r="AC52" t="n">
        <v>88.2381690040859</v>
      </c>
      <c r="AD52" t="n">
        <v>94.0618873331741</v>
      </c>
      <c r="AE52" t="n">
        <v>100</v>
      </c>
      <c r="AF52" t="n">
        <v>109.303520371694</v>
      </c>
    </row>
    <row r="53">
      <c r="A53" t="s">
        <v>29</v>
      </c>
      <c r="B53" t="s">
        <v>263</v>
      </c>
      <c r="C53" t="s">
        <v>129</v>
      </c>
      <c r="D53" t="s">
        <v>264</v>
      </c>
      <c r="E53" t="s">
        <v>130</v>
      </c>
      <c r="F53" t="n">
        <v>28.3102895117128</v>
      </c>
      <c r="G53" t="n">
        <v>34.2440000102136</v>
      </c>
      <c r="H53" t="n">
        <v>40.3662611425659</v>
      </c>
      <c r="I53" t="n">
        <v>45.9558148606756</v>
      </c>
      <c r="J53" t="n">
        <v>51.0086760910296</v>
      </c>
      <c r="K53" t="n">
        <v>56.0285256292128</v>
      </c>
      <c r="L53" t="n">
        <v>60.5981191434243</v>
      </c>
      <c r="M53" t="n">
        <v>65.2286052862084</v>
      </c>
      <c r="N53" t="n">
        <v>66.5182329931527</v>
      </c>
      <c r="O53" t="n">
        <v>69.31686080582</v>
      </c>
      <c r="P53" t="n">
        <v>73.4069822187692</v>
      </c>
      <c r="Q53" t="n">
        <v>75.547935727671</v>
      </c>
      <c r="R53" t="n">
        <v>79.6986912647146</v>
      </c>
      <c r="S53" t="n">
        <v>81.8114227170645</v>
      </c>
      <c r="T53" t="n">
        <v>81.4530242518179</v>
      </c>
      <c r="U53" t="n">
        <v>82.9774557923049</v>
      </c>
      <c r="V53" t="n">
        <v>84.590269508204</v>
      </c>
      <c r="W53" t="n">
        <v>85.543773337021</v>
      </c>
      <c r="X53" t="n">
        <v>86.1476188121677</v>
      </c>
      <c r="Y53" t="n">
        <v>86.7561070204636</v>
      </c>
      <c r="Z53" t="n">
        <v>87.5210492594156</v>
      </c>
      <c r="AA53" t="n">
        <v>89.1661576713571</v>
      </c>
      <c r="AB53" t="n">
        <v>93.6328547045189</v>
      </c>
      <c r="AC53" t="n">
        <v>96.5862338765841</v>
      </c>
      <c r="AD53" t="n">
        <v>97.755947589356</v>
      </c>
      <c r="AE53" t="n">
        <v>100</v>
      </c>
      <c r="AF53" t="n">
        <v>109.344415731576</v>
      </c>
    </row>
    <row r="54">
      <c r="A54" t="s">
        <v>29</v>
      </c>
      <c r="B54" t="s">
        <v>265</v>
      </c>
      <c r="C54" t="s">
        <v>129</v>
      </c>
      <c r="D54" t="s">
        <v>266</v>
      </c>
      <c r="E54" t="s">
        <v>130</v>
      </c>
      <c r="F54" t="n">
        <v>25.1868213944871</v>
      </c>
      <c r="G54" t="n">
        <v>30.3837548193999</v>
      </c>
      <c r="H54" t="n">
        <v>35.7505757332751</v>
      </c>
      <c r="I54" t="n">
        <v>40.3849611919428</v>
      </c>
      <c r="J54" t="n">
        <v>44.7914612378063</v>
      </c>
      <c r="K54" t="n">
        <v>49.1065968358143</v>
      </c>
      <c r="L54" t="n">
        <v>53.0243513757483</v>
      </c>
      <c r="M54" t="n">
        <v>56.310425088365</v>
      </c>
      <c r="N54" t="n">
        <v>59.0139125507365</v>
      </c>
      <c r="O54" t="n">
        <v>62.2523908530065</v>
      </c>
      <c r="P54" t="n">
        <v>66.0676321296514</v>
      </c>
      <c r="Q54" t="n">
        <v>69.800043418187</v>
      </c>
      <c r="R54" t="n">
        <v>73.3665463621039</v>
      </c>
      <c r="S54" t="n">
        <v>77.5432945185781</v>
      </c>
      <c r="T54" t="n">
        <v>78.6505390422873</v>
      </c>
      <c r="U54" t="n">
        <v>80.0611253901903</v>
      </c>
      <c r="V54" t="n">
        <v>81.0934932291138</v>
      </c>
      <c r="W54" t="n">
        <v>83.5088833860846</v>
      </c>
      <c r="X54" t="n">
        <v>85.8140134957182</v>
      </c>
      <c r="Y54" t="n">
        <v>86.9343143213011</v>
      </c>
      <c r="Z54" t="n">
        <v>89.0546468592345</v>
      </c>
      <c r="AA54" t="n">
        <v>90.64455562844</v>
      </c>
      <c r="AB54" t="n">
        <v>93.653887003025</v>
      </c>
      <c r="AC54" t="n">
        <v>95.7443265718516</v>
      </c>
      <c r="AD54" t="n">
        <v>98.8666499862608</v>
      </c>
      <c r="AE54" t="n">
        <v>100</v>
      </c>
      <c r="AF54" t="n">
        <v>108.09068657213</v>
      </c>
    </row>
    <row r="55">
      <c r="A55" t="s">
        <v>29</v>
      </c>
      <c r="B55" t="s">
        <v>267</v>
      </c>
      <c r="C55" t="s">
        <v>129</v>
      </c>
      <c r="D55" t="s">
        <v>268</v>
      </c>
      <c r="E55" t="s">
        <v>130</v>
      </c>
      <c r="F55" t="n">
        <v>22.8295532083674</v>
      </c>
      <c r="G55" t="n">
        <v>27.4771127515402</v>
      </c>
      <c r="H55" t="n">
        <v>32.2893816409179</v>
      </c>
      <c r="I55" t="n">
        <v>36.2495287218187</v>
      </c>
      <c r="J55" t="n">
        <v>40.1815579110555</v>
      </c>
      <c r="K55" t="n">
        <v>43.9797579715688</v>
      </c>
      <c r="L55" t="n">
        <v>47.423513481487</v>
      </c>
      <c r="M55" t="n">
        <v>49.7323558540048</v>
      </c>
      <c r="N55" t="n">
        <v>53.4691060342079</v>
      </c>
      <c r="O55" t="n">
        <v>56.994458766771</v>
      </c>
      <c r="P55" t="n">
        <v>60.5918088248896</v>
      </c>
      <c r="Q55" t="n">
        <v>65.4066476224097</v>
      </c>
      <c r="R55" t="n">
        <v>68.5489428764989</v>
      </c>
      <c r="S55" t="n">
        <v>74.2800770664681</v>
      </c>
      <c r="T55" t="n">
        <v>76.4485231024328</v>
      </c>
      <c r="U55" t="n">
        <v>77.7682223094018</v>
      </c>
      <c r="V55" t="n">
        <v>78.328359010621</v>
      </c>
      <c r="W55" t="n">
        <v>81.9953389347861</v>
      </c>
      <c r="X55" t="n">
        <v>85.8483434780006</v>
      </c>
      <c r="Y55" t="n">
        <v>87.4556004113102</v>
      </c>
      <c r="Z55" t="n">
        <v>90.955140568359</v>
      </c>
      <c r="AA55" t="n">
        <v>92.4854548780649</v>
      </c>
      <c r="AB55" t="n">
        <v>93.5896920104574</v>
      </c>
      <c r="AC55" t="n">
        <v>94.6144210043397</v>
      </c>
      <c r="AD55" t="n">
        <v>100.172740574675</v>
      </c>
      <c r="AE55" t="n">
        <v>100</v>
      </c>
      <c r="AF55" t="n">
        <v>106.541600706405</v>
      </c>
    </row>
    <row r="56">
      <c r="A56" t="s">
        <v>29</v>
      </c>
      <c r="B56" t="s">
        <v>269</v>
      </c>
      <c r="C56" t="s">
        <v>129</v>
      </c>
      <c r="D56" t="s">
        <v>270</v>
      </c>
      <c r="E56" t="s">
        <v>130</v>
      </c>
      <c r="F56" t="n">
        <v>15.1879397162144</v>
      </c>
      <c r="G56" t="n">
        <v>18.1850264868807</v>
      </c>
      <c r="H56" t="n">
        <v>20.9218482428392</v>
      </c>
      <c r="I56" t="n">
        <v>23.5540002503855</v>
      </c>
      <c r="J56" t="n">
        <v>25.9616135764717</v>
      </c>
      <c r="K56" t="n">
        <v>28.640791721718</v>
      </c>
      <c r="L56" t="n">
        <v>32.1378225861804</v>
      </c>
      <c r="M56" t="n">
        <v>34.9324158545439</v>
      </c>
      <c r="N56" t="n">
        <v>38.3598328747103</v>
      </c>
      <c r="O56" t="n">
        <v>41.8515612517673</v>
      </c>
      <c r="P56" t="n">
        <v>43.8954428074911</v>
      </c>
      <c r="Q56" t="n">
        <v>45.961949043558</v>
      </c>
      <c r="R56" t="n">
        <v>48.99665156144</v>
      </c>
      <c r="S56" t="n">
        <v>51.928075159133</v>
      </c>
      <c r="T56" t="n">
        <v>57.68395818882</v>
      </c>
      <c r="U56" t="n">
        <v>60.2208264798868</v>
      </c>
      <c r="V56" t="n">
        <v>62.4493080105539</v>
      </c>
      <c r="W56" t="n">
        <v>66.6358537989709</v>
      </c>
      <c r="X56" t="n">
        <v>68.4325381995775</v>
      </c>
      <c r="Y56" t="n">
        <v>70.7640167435078</v>
      </c>
      <c r="Z56" t="n">
        <v>73.6717745224228</v>
      </c>
      <c r="AA56" t="n">
        <v>75.8125019567716</v>
      </c>
      <c r="AB56" t="n">
        <v>80.2077894924246</v>
      </c>
      <c r="AC56" t="n">
        <v>85.1804718140024</v>
      </c>
      <c r="AD56" t="n">
        <v>92.2478922588416</v>
      </c>
      <c r="AE56" t="n">
        <v>100</v>
      </c>
      <c r="AF56" t="n">
        <v>106.106408706167</v>
      </c>
    </row>
    <row r="57">
      <c r="A57" t="s">
        <v>29</v>
      </c>
      <c r="B57" t="s">
        <v>271</v>
      </c>
      <c r="C57" t="s">
        <v>129</v>
      </c>
      <c r="D57" t="s">
        <v>272</v>
      </c>
      <c r="E57" t="s">
        <v>130</v>
      </c>
      <c r="F57" t="n">
        <v>29.0868235611274</v>
      </c>
      <c r="G57" t="n">
        <v>35.0865321752619</v>
      </c>
      <c r="H57" t="n">
        <v>41.4355941708731</v>
      </c>
      <c r="I57" t="n">
        <v>46.1225780626963</v>
      </c>
      <c r="J57" t="n">
        <v>50.0370605357119</v>
      </c>
      <c r="K57" t="n">
        <v>54.5130140467932</v>
      </c>
      <c r="L57" t="n">
        <v>57.4930166779718</v>
      </c>
      <c r="M57" t="n">
        <v>58.442404108781</v>
      </c>
      <c r="N57" t="n">
        <v>60.5189773422504</v>
      </c>
      <c r="O57" t="n">
        <v>62.3410525107635</v>
      </c>
      <c r="P57" t="n">
        <v>64.9711450151833</v>
      </c>
      <c r="Q57" t="n">
        <v>68.9491596383386</v>
      </c>
      <c r="R57" t="n">
        <v>71.6863090645112</v>
      </c>
      <c r="S57" t="n">
        <v>74.5161230552198</v>
      </c>
      <c r="T57" t="n">
        <v>76.4417920100596</v>
      </c>
      <c r="U57" t="n">
        <v>78.6761678999666</v>
      </c>
      <c r="V57" t="n">
        <v>81.5579012728199</v>
      </c>
      <c r="W57" t="n">
        <v>83.9107912115781</v>
      </c>
      <c r="X57" t="n">
        <v>84.4181492786224</v>
      </c>
      <c r="Y57" t="n">
        <v>85.3387997540055</v>
      </c>
      <c r="Z57" t="n">
        <v>86.0295890443644</v>
      </c>
      <c r="AA57" t="n">
        <v>86.8266757210765</v>
      </c>
      <c r="AB57" t="n">
        <v>89.32356137593</v>
      </c>
      <c r="AC57" t="n">
        <v>92.7118090572813</v>
      </c>
      <c r="AD57" t="n">
        <v>96.372228279776</v>
      </c>
      <c r="AE57" t="n">
        <v>100</v>
      </c>
      <c r="AF57" t="n">
        <v>108.186434270984</v>
      </c>
    </row>
    <row r="58">
      <c r="A58" t="s">
        <v>29</v>
      </c>
      <c r="B58" t="s">
        <v>273</v>
      </c>
      <c r="C58" t="s">
        <v>129</v>
      </c>
      <c r="D58" t="s">
        <v>274</v>
      </c>
      <c r="E58" t="s">
        <v>130</v>
      </c>
      <c r="F58" t="n">
        <v>29.0883208649721</v>
      </c>
      <c r="G58" t="n">
        <v>35.0883552720282</v>
      </c>
      <c r="H58" t="n">
        <v>41.4378273447811</v>
      </c>
      <c r="I58" t="n">
        <v>46.125024508742</v>
      </c>
      <c r="J58" t="n">
        <v>50.0396548889635</v>
      </c>
      <c r="K58" t="n">
        <v>54.5157847456294</v>
      </c>
      <c r="L58" t="n">
        <v>57.495616935759</v>
      </c>
      <c r="M58" t="n">
        <v>58.4446756085733</v>
      </c>
      <c r="N58" t="n">
        <v>60.52102077946</v>
      </c>
      <c r="O58" t="n">
        <v>62.3428709938491</v>
      </c>
      <c r="P58" t="n">
        <v>64.9730113036222</v>
      </c>
      <c r="Q58" t="n">
        <v>68.9512114051087</v>
      </c>
      <c r="R58" t="n">
        <v>71.6883230221293</v>
      </c>
      <c r="S58" t="n">
        <v>74.5181378509104</v>
      </c>
      <c r="T58" t="n">
        <v>76.4436027155222</v>
      </c>
      <c r="U58" t="n">
        <v>78.6779606097279</v>
      </c>
      <c r="V58" t="n">
        <v>81.5597578175017</v>
      </c>
      <c r="W58" t="n">
        <v>83.9125044370897</v>
      </c>
      <c r="X58" t="n">
        <v>84.4197633655096</v>
      </c>
      <c r="Y58" t="n">
        <v>85.3403182135717</v>
      </c>
      <c r="Z58" t="n">
        <v>86.0308941731165</v>
      </c>
      <c r="AA58" t="n">
        <v>86.8278434723728</v>
      </c>
      <c r="AB58" t="n">
        <v>89.3245562221777</v>
      </c>
      <c r="AC58" t="n">
        <v>92.7125485692298</v>
      </c>
      <c r="AD58" t="n">
        <v>96.3726282989943</v>
      </c>
      <c r="AE58" t="n">
        <v>100</v>
      </c>
      <c r="AF58" t="n">
        <v>108.186603369429</v>
      </c>
    </row>
    <row r="59">
      <c r="A59" t="s">
        <v>29</v>
      </c>
      <c r="B59" t="s">
        <v>275</v>
      </c>
      <c r="C59" t="s">
        <v>129</v>
      </c>
      <c r="D59" t="s">
        <v>276</v>
      </c>
      <c r="E59" t="s">
        <v>130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>
      <c r="A2" t="s">
        <v>31</v>
      </c>
      <c r="B2" t="s">
        <v>84</v>
      </c>
      <c r="C2" t="s">
        <v>129</v>
      </c>
      <c r="D2" t="s">
        <v>86</v>
      </c>
      <c r="E2" t="s">
        <v>130</v>
      </c>
      <c r="F2" t="n">
        <v>23.8434524355783</v>
      </c>
      <c r="G2" t="n">
        <v>30.1184918986179</v>
      </c>
      <c r="H2" t="n">
        <v>34.1557043063648</v>
      </c>
      <c r="I2" t="n">
        <v>35.8679785606443</v>
      </c>
      <c r="J2" t="n">
        <v>38.5615142105675</v>
      </c>
      <c r="K2" t="n">
        <v>44.3097988338564</v>
      </c>
      <c r="L2" t="n">
        <v>48.314816647854</v>
      </c>
      <c r="M2" t="n">
        <v>48.9529839220004</v>
      </c>
      <c r="N2" t="n">
        <v>51.3391271731479</v>
      </c>
      <c r="O2" t="n">
        <v>56.3836165608783</v>
      </c>
      <c r="P2" t="n">
        <v>58.2262561012177</v>
      </c>
      <c r="Q2" t="n">
        <v>62.722049021458</v>
      </c>
      <c r="R2" t="n">
        <v>67.5421098181702</v>
      </c>
      <c r="S2" t="n">
        <v>79.0864575803083</v>
      </c>
      <c r="T2" t="n">
        <v>73.7178267741566</v>
      </c>
      <c r="U2" t="n">
        <v>77.269701381778</v>
      </c>
      <c r="V2" t="n">
        <v>86.4756393598794</v>
      </c>
      <c r="W2" t="n">
        <v>92.0603033183986</v>
      </c>
      <c r="X2" t="n">
        <v>91.8264025718678</v>
      </c>
      <c r="Y2" t="n">
        <v>88.9785358491743</v>
      </c>
      <c r="Z2" t="n">
        <v>90.2258241061112</v>
      </c>
      <c r="AA2" t="n">
        <v>89.0924941511018</v>
      </c>
      <c r="AB2" t="n">
        <v>90.4629323412907</v>
      </c>
      <c r="AC2" t="n">
        <v>95.4994606416191</v>
      </c>
      <c r="AD2" t="n">
        <v>98.3279519611197</v>
      </c>
      <c r="AE2" t="n">
        <v>100</v>
      </c>
      <c r="AF2" t="n">
        <v>116.666608785817</v>
      </c>
    </row>
    <row r="3">
      <c r="A3" t="s">
        <v>31</v>
      </c>
      <c r="B3" t="s">
        <v>163</v>
      </c>
      <c r="C3" t="s">
        <v>129</v>
      </c>
      <c r="D3" t="s">
        <v>164</v>
      </c>
      <c r="E3" t="s">
        <v>130</v>
      </c>
      <c r="F3" t="n">
        <v>32.5291031318658</v>
      </c>
      <c r="G3" t="n">
        <v>38.6542584780589</v>
      </c>
      <c r="H3" t="n">
        <v>44.0980076207642</v>
      </c>
      <c r="I3" t="n">
        <v>50.3652034765584</v>
      </c>
      <c r="J3" t="n">
        <v>57.8164546571493</v>
      </c>
      <c r="K3" t="n">
        <v>61.5169365973788</v>
      </c>
      <c r="L3" t="n">
        <v>62.766646978402</v>
      </c>
      <c r="M3" t="n">
        <v>62.2626168163285</v>
      </c>
      <c r="N3" t="n">
        <v>64.9285659870766</v>
      </c>
      <c r="O3" t="n">
        <v>68.0470633190441</v>
      </c>
      <c r="P3" t="n">
        <v>72.6506767115572</v>
      </c>
      <c r="Q3" t="n">
        <v>77.6381194387112</v>
      </c>
      <c r="R3" t="n">
        <v>81.5997323723952</v>
      </c>
      <c r="S3" t="n">
        <v>89.4440268399875</v>
      </c>
      <c r="T3" t="n">
        <v>87.3707284349386</v>
      </c>
      <c r="U3" t="n">
        <v>89.7163566859016</v>
      </c>
      <c r="V3" t="n">
        <v>96.4669568368691</v>
      </c>
      <c r="W3" t="n">
        <v>101.058029480443</v>
      </c>
      <c r="X3" t="n">
        <v>99.5957555364104</v>
      </c>
      <c r="Y3" t="n">
        <v>96.6830394496373</v>
      </c>
      <c r="Z3" t="n">
        <v>97.3542047807049</v>
      </c>
      <c r="AA3" t="n">
        <v>94.9706114361327</v>
      </c>
      <c r="AB3" t="n">
        <v>99.0928361572249</v>
      </c>
      <c r="AC3" t="n">
        <v>103.252072049684</v>
      </c>
      <c r="AD3" t="n">
        <v>100.755755090353</v>
      </c>
      <c r="AE3" t="n">
        <v>100</v>
      </c>
      <c r="AF3" t="n">
        <v>113.267111461642</v>
      </c>
    </row>
    <row r="4">
      <c r="A4" t="s">
        <v>31</v>
      </c>
      <c r="B4" t="s">
        <v>165</v>
      </c>
      <c r="C4" t="s">
        <v>129</v>
      </c>
      <c r="D4" t="s">
        <v>166</v>
      </c>
      <c r="E4" t="s">
        <v>130</v>
      </c>
      <c r="F4" t="n">
        <v>45.073112414593</v>
      </c>
      <c r="G4" t="n">
        <v>53.1043914017834</v>
      </c>
      <c r="H4" t="n">
        <v>60.8697651321628</v>
      </c>
      <c r="I4" t="n">
        <v>66.6747246092267</v>
      </c>
      <c r="J4" t="n">
        <v>71.5157660561109</v>
      </c>
      <c r="K4" t="n">
        <v>77.4314362575042</v>
      </c>
      <c r="L4" t="n">
        <v>77.1407796034411</v>
      </c>
      <c r="M4" t="n">
        <v>72.6457374839696</v>
      </c>
      <c r="N4" t="n">
        <v>72.4595749179426</v>
      </c>
      <c r="O4" t="n">
        <v>71.96645880961</v>
      </c>
      <c r="P4" t="n">
        <v>74.3128804792006</v>
      </c>
      <c r="Q4" t="n">
        <v>79.0854917791085</v>
      </c>
      <c r="R4" t="n">
        <v>80.7151468692038</v>
      </c>
      <c r="S4" t="n">
        <v>80.95135128712</v>
      </c>
      <c r="T4" t="n">
        <v>82.7783216053347</v>
      </c>
      <c r="U4" t="n">
        <v>85.348200621526</v>
      </c>
      <c r="V4" t="n">
        <v>89.0599355005461</v>
      </c>
      <c r="W4" t="n">
        <v>92.6145123889168</v>
      </c>
      <c r="X4" t="n">
        <v>91.5312284369355</v>
      </c>
      <c r="Y4" t="n">
        <v>90.8595951991227</v>
      </c>
      <c r="Z4" t="n">
        <v>90.0465504427588</v>
      </c>
      <c r="AA4" t="n">
        <v>90.1976104137286</v>
      </c>
      <c r="AB4" t="n">
        <v>91.9041903452292</v>
      </c>
      <c r="AC4" t="n">
        <v>95.2598300457314</v>
      </c>
      <c r="AD4" t="n">
        <v>97.9020885614723</v>
      </c>
      <c r="AE4" t="n">
        <v>100</v>
      </c>
      <c r="AF4" t="n">
        <v>110.493481273327</v>
      </c>
    </row>
    <row r="5">
      <c r="A5" t="s">
        <v>31</v>
      </c>
      <c r="B5" t="s">
        <v>167</v>
      </c>
      <c r="C5" t="s">
        <v>129</v>
      </c>
      <c r="D5" t="s">
        <v>168</v>
      </c>
      <c r="E5" t="s">
        <v>130</v>
      </c>
      <c r="F5" t="n">
        <v>30.9603670193722</v>
      </c>
      <c r="G5" t="n">
        <v>38.3223703099631</v>
      </c>
      <c r="H5" t="n">
        <v>44.9209878047929</v>
      </c>
      <c r="I5" t="n">
        <v>49.0028113706651</v>
      </c>
      <c r="J5" t="n">
        <v>51.330240464926</v>
      </c>
      <c r="K5" t="n">
        <v>56.3754742999479</v>
      </c>
      <c r="L5" t="n">
        <v>58.1783487499782</v>
      </c>
      <c r="M5" t="n">
        <v>56.8621288325966</v>
      </c>
      <c r="N5" t="n">
        <v>58.4043763832166</v>
      </c>
      <c r="O5" t="n">
        <v>59.0429748915198</v>
      </c>
      <c r="P5" t="n">
        <v>60.2592241907447</v>
      </c>
      <c r="Q5" t="n">
        <v>63.2590686068479</v>
      </c>
      <c r="R5" t="n">
        <v>70.2908575388257</v>
      </c>
      <c r="S5" t="n">
        <v>75.9741065723839</v>
      </c>
      <c r="T5" t="n">
        <v>76.1541938302207</v>
      </c>
      <c r="U5" t="n">
        <v>78.2634577028558</v>
      </c>
      <c r="V5" t="n">
        <v>84.4884787610437</v>
      </c>
      <c r="W5" t="n">
        <v>89.9246059982926</v>
      </c>
      <c r="X5" t="n">
        <v>90.0211811058584</v>
      </c>
      <c r="Y5" t="n">
        <v>88.4546722340458</v>
      </c>
      <c r="Z5" t="n">
        <v>88.1183691725657</v>
      </c>
      <c r="AA5" t="n">
        <v>88.8947022271599</v>
      </c>
      <c r="AB5" t="n">
        <v>90.6637879075267</v>
      </c>
      <c r="AC5" t="n">
        <v>92.2845808340993</v>
      </c>
      <c r="AD5" t="n">
        <v>96.7720762251281</v>
      </c>
      <c r="AE5" t="n">
        <v>100</v>
      </c>
      <c r="AF5" t="n">
        <v>110.137798962342</v>
      </c>
    </row>
    <row r="6">
      <c r="A6" t="s">
        <v>31</v>
      </c>
      <c r="B6" t="s">
        <v>169</v>
      </c>
      <c r="C6" t="s">
        <v>129</v>
      </c>
      <c r="D6" t="s">
        <v>170</v>
      </c>
      <c r="E6" t="s">
        <v>130</v>
      </c>
      <c r="F6" t="n">
        <v>43.4056810515664</v>
      </c>
      <c r="G6" t="n">
        <v>50.7774170636326</v>
      </c>
      <c r="H6" t="n">
        <v>58.3083605420337</v>
      </c>
      <c r="I6" t="n">
        <v>67.6542922696863</v>
      </c>
      <c r="J6" t="n">
        <v>74.9063280433868</v>
      </c>
      <c r="K6" t="n">
        <v>78.4405426932097</v>
      </c>
      <c r="L6" t="n">
        <v>77.6872362099826</v>
      </c>
      <c r="M6" t="n">
        <v>73.4613531300731</v>
      </c>
      <c r="N6" t="n">
        <v>74.3702147079551</v>
      </c>
      <c r="O6" t="n">
        <v>72.6470285736699</v>
      </c>
      <c r="P6" t="n">
        <v>74.363616939899</v>
      </c>
      <c r="Q6" t="n">
        <v>79.0454122359654</v>
      </c>
      <c r="R6" t="n">
        <v>81.221557740178</v>
      </c>
      <c r="S6" t="n">
        <v>79.6636350623277</v>
      </c>
      <c r="T6" t="n">
        <v>82.5726200683513</v>
      </c>
      <c r="U6" t="n">
        <v>83.1865232485031</v>
      </c>
      <c r="V6" t="n">
        <v>83.9490853563394</v>
      </c>
      <c r="W6" t="n">
        <v>85.9645080968886</v>
      </c>
      <c r="X6" t="n">
        <v>86.4176440741679</v>
      </c>
      <c r="Y6" t="n">
        <v>89.0367386429656</v>
      </c>
      <c r="Z6" t="n">
        <v>90.5531432210104</v>
      </c>
      <c r="AA6" t="n">
        <v>91.3741114915587</v>
      </c>
      <c r="AB6" t="n">
        <v>93.2430340187421</v>
      </c>
      <c r="AC6" t="n">
        <v>94.9283227284261</v>
      </c>
      <c r="AD6" t="n">
        <v>98.0754521169258</v>
      </c>
      <c r="AE6" t="n">
        <v>100</v>
      </c>
      <c r="AF6" t="n">
        <v>105.548658600736</v>
      </c>
    </row>
    <row r="7">
      <c r="A7" t="s">
        <v>31</v>
      </c>
      <c r="B7" t="s">
        <v>171</v>
      </c>
      <c r="C7" t="s">
        <v>129</v>
      </c>
      <c r="D7" t="s">
        <v>172</v>
      </c>
      <c r="E7" t="s">
        <v>130</v>
      </c>
      <c r="F7" t="n">
        <v>44.0386009277735</v>
      </c>
      <c r="G7" t="n">
        <v>50.5840745877319</v>
      </c>
      <c r="H7" t="n">
        <v>56.0596182049733</v>
      </c>
      <c r="I7" t="n">
        <v>62.2065151434265</v>
      </c>
      <c r="J7" t="n">
        <v>67.6039271188942</v>
      </c>
      <c r="K7" t="n">
        <v>72.8219034928581</v>
      </c>
      <c r="L7" t="n">
        <v>72.7106211483116</v>
      </c>
      <c r="M7" t="n">
        <v>69.8472791016531</v>
      </c>
      <c r="N7" t="n">
        <v>71.5269525484851</v>
      </c>
      <c r="O7" t="n">
        <v>71.2363341581663</v>
      </c>
      <c r="P7" t="n">
        <v>73.6499193651603</v>
      </c>
      <c r="Q7" t="n">
        <v>79.0615768255329</v>
      </c>
      <c r="R7" t="n">
        <v>82.9140600417886</v>
      </c>
      <c r="S7" t="n">
        <v>84.7329578177138</v>
      </c>
      <c r="T7" t="n">
        <v>86.4225505476676</v>
      </c>
      <c r="U7" t="n">
        <v>86.6620229045249</v>
      </c>
      <c r="V7" t="n">
        <v>88.3914562840332</v>
      </c>
      <c r="W7" t="n">
        <v>89.1870038255996</v>
      </c>
      <c r="X7" t="n">
        <v>89.0533444534408</v>
      </c>
      <c r="Y7" t="n">
        <v>89.9254592999022</v>
      </c>
      <c r="Z7" t="n">
        <v>90.3957210807203</v>
      </c>
      <c r="AA7" t="n">
        <v>91.0965743431824</v>
      </c>
      <c r="AB7" t="n">
        <v>92.8261256034062</v>
      </c>
      <c r="AC7" t="n">
        <v>96.7281914590387</v>
      </c>
      <c r="AD7" t="n">
        <v>99.1466871632016</v>
      </c>
      <c r="AE7" t="n">
        <v>100</v>
      </c>
      <c r="AF7" t="n">
        <v>113.180706534978</v>
      </c>
    </row>
    <row r="8">
      <c r="A8" t="s">
        <v>31</v>
      </c>
      <c r="B8" t="s">
        <v>173</v>
      </c>
      <c r="C8" t="s">
        <v>129</v>
      </c>
      <c r="D8" t="s">
        <v>174</v>
      </c>
      <c r="E8" t="s">
        <v>130</v>
      </c>
      <c r="F8" t="n">
        <v>15.9364071213322</v>
      </c>
      <c r="G8" t="n">
        <v>21.4573662855714</v>
      </c>
      <c r="H8" t="n">
        <v>24.9746997666227</v>
      </c>
      <c r="I8" t="n">
        <v>24.5392000129592</v>
      </c>
      <c r="J8" t="n">
        <v>29.3373536426352</v>
      </c>
      <c r="K8" t="n">
        <v>47.8721627891077</v>
      </c>
      <c r="L8" t="n">
        <v>47.0719137959388</v>
      </c>
      <c r="M8" t="n">
        <v>41.1641888427176</v>
      </c>
      <c r="N8" t="n">
        <v>44.3264485519091</v>
      </c>
      <c r="O8" t="n">
        <v>49.6685411592539</v>
      </c>
      <c r="P8" t="n">
        <v>61.9884935619853</v>
      </c>
      <c r="Q8" t="n">
        <v>79.7406681405738</v>
      </c>
      <c r="R8" t="n">
        <v>81.8358792974608</v>
      </c>
      <c r="S8" t="n">
        <v>95.0323384178362</v>
      </c>
      <c r="T8" t="n">
        <v>86.4774271311439</v>
      </c>
      <c r="U8" t="n">
        <v>100.125868673808</v>
      </c>
      <c r="V8" t="n">
        <v>113.737484403217</v>
      </c>
      <c r="W8" t="n">
        <v>126.070956570207</v>
      </c>
      <c r="X8" t="n">
        <v>121.510353341234</v>
      </c>
      <c r="Y8" t="n">
        <v>116.913714361035</v>
      </c>
      <c r="Z8" t="n">
        <v>92.7288945536255</v>
      </c>
      <c r="AA8" t="n">
        <v>84.356197941189</v>
      </c>
      <c r="AB8" t="n">
        <v>96.4553803796157</v>
      </c>
      <c r="AC8" t="n">
        <v>115.110517331732</v>
      </c>
      <c r="AD8" t="n">
        <v>114.978838144393</v>
      </c>
      <c r="AE8" t="n">
        <v>100</v>
      </c>
      <c r="AF8" t="n">
        <v>149.098177885174</v>
      </c>
    </row>
    <row r="9">
      <c r="A9" t="s">
        <v>31</v>
      </c>
      <c r="B9" t="s">
        <v>175</v>
      </c>
      <c r="C9" t="s">
        <v>129</v>
      </c>
      <c r="D9" t="s">
        <v>176</v>
      </c>
      <c r="E9" t="s">
        <v>130</v>
      </c>
      <c r="F9" t="n">
        <v>27.843815699494</v>
      </c>
      <c r="G9" t="n">
        <v>34.4778254826687</v>
      </c>
      <c r="H9" t="n">
        <v>40.1428628916236</v>
      </c>
      <c r="I9" t="n">
        <v>45.0148646983885</v>
      </c>
      <c r="J9" t="n">
        <v>50.9893522637367</v>
      </c>
      <c r="K9" t="n">
        <v>58.3321106924507</v>
      </c>
      <c r="L9" t="n">
        <v>58.7780202867519</v>
      </c>
      <c r="M9" t="n">
        <v>55.8055340381772</v>
      </c>
      <c r="N9" t="n">
        <v>57.4887704656423</v>
      </c>
      <c r="O9" t="n">
        <v>60.5381241250953</v>
      </c>
      <c r="P9" t="n">
        <v>66.05075958689</v>
      </c>
      <c r="Q9" t="n">
        <v>71.9193953750446</v>
      </c>
      <c r="R9" t="n">
        <v>74.6655402573882</v>
      </c>
      <c r="S9" t="n">
        <v>80.2579856233625</v>
      </c>
      <c r="T9" t="n">
        <v>76.8885112167717</v>
      </c>
      <c r="U9" t="n">
        <v>86.661849863055</v>
      </c>
      <c r="V9" t="n">
        <v>95.920432996612</v>
      </c>
      <c r="W9" t="n">
        <v>103.750082176194</v>
      </c>
      <c r="X9" t="n">
        <v>101.714108541799</v>
      </c>
      <c r="Y9" t="n">
        <v>99.6988912534847</v>
      </c>
      <c r="Z9" t="n">
        <v>92.9909085002654</v>
      </c>
      <c r="AA9" t="n">
        <v>90.7330147075356</v>
      </c>
      <c r="AB9" t="n">
        <v>95.6233977308637</v>
      </c>
      <c r="AC9" t="n">
        <v>102.840550193067</v>
      </c>
      <c r="AD9" t="n">
        <v>103.782864535866</v>
      </c>
      <c r="AE9" t="n">
        <v>100</v>
      </c>
      <c r="AF9" t="n">
        <v>132.697492882148</v>
      </c>
    </row>
    <row r="10">
      <c r="A10" t="s">
        <v>31</v>
      </c>
      <c r="B10" t="s">
        <v>177</v>
      </c>
      <c r="C10" t="s">
        <v>129</v>
      </c>
      <c r="D10" t="s">
        <v>178</v>
      </c>
      <c r="E10" t="s">
        <v>130</v>
      </c>
      <c r="F10" t="n">
        <v>28.168212591373</v>
      </c>
      <c r="G10" t="n">
        <v>34.8393009207627</v>
      </c>
      <c r="H10" t="n">
        <v>40.5494405805639</v>
      </c>
      <c r="I10" t="n">
        <v>45.4890990087872</v>
      </c>
      <c r="J10" t="n">
        <v>51.5007613050673</v>
      </c>
      <c r="K10" t="n">
        <v>58.9069002821805</v>
      </c>
      <c r="L10" t="n">
        <v>59.3581277234306</v>
      </c>
      <c r="M10" t="n">
        <v>56.3518695320999</v>
      </c>
      <c r="N10" t="n">
        <v>58.0989318521433</v>
      </c>
      <c r="O10" t="n">
        <v>61.3578643711996</v>
      </c>
      <c r="P10" t="n">
        <v>66.9544462946767</v>
      </c>
      <c r="Q10" t="n">
        <v>73.4559492925688</v>
      </c>
      <c r="R10" t="n">
        <v>76.3606775598943</v>
      </c>
      <c r="S10" t="n">
        <v>81.9417771398866</v>
      </c>
      <c r="T10" t="n">
        <v>80.2451460405651</v>
      </c>
      <c r="U10" t="n">
        <v>87.9332808262224</v>
      </c>
      <c r="V10" t="n">
        <v>94.9053436198832</v>
      </c>
      <c r="W10" t="n">
        <v>101.885781331807</v>
      </c>
      <c r="X10" t="n">
        <v>100.05754804735</v>
      </c>
      <c r="Y10" t="n">
        <v>98.1567897706958</v>
      </c>
      <c r="Z10" t="n">
        <v>93.2789358299216</v>
      </c>
      <c r="AA10" t="n">
        <v>91.8567020842847</v>
      </c>
      <c r="AB10" t="n">
        <v>95.6321465065858</v>
      </c>
      <c r="AC10" t="n">
        <v>101.32264510694</v>
      </c>
      <c r="AD10" t="n">
        <v>102.562743145757</v>
      </c>
      <c r="AE10" t="n">
        <v>100</v>
      </c>
      <c r="AF10" t="n">
        <v>124.747352270894</v>
      </c>
    </row>
    <row r="11">
      <c r="A11" t="s">
        <v>31</v>
      </c>
      <c r="B11" t="s">
        <v>179</v>
      </c>
      <c r="C11" t="s">
        <v>129</v>
      </c>
      <c r="D11" t="s">
        <v>180</v>
      </c>
      <c r="E11" t="s">
        <v>130</v>
      </c>
      <c r="F11" t="n">
        <v>28.9835478797885</v>
      </c>
      <c r="G11" t="n">
        <v>35.7435911631877</v>
      </c>
      <c r="H11" t="n">
        <v>41.5664977141732</v>
      </c>
      <c r="I11" t="n">
        <v>46.6728204416213</v>
      </c>
      <c r="J11" t="n">
        <v>52.7758191281788</v>
      </c>
      <c r="K11" t="n">
        <v>60.3327175632007</v>
      </c>
      <c r="L11" t="n">
        <v>60.7974111516207</v>
      </c>
      <c r="M11" t="n">
        <v>57.7066271028168</v>
      </c>
      <c r="N11" t="n">
        <v>59.6109340272705</v>
      </c>
      <c r="O11" t="n">
        <v>63.3806089255681</v>
      </c>
      <c r="P11" t="n">
        <v>69.1866810130292</v>
      </c>
      <c r="Q11" t="n">
        <v>77.3715305704452</v>
      </c>
      <c r="R11" t="n">
        <v>80.7125650565788</v>
      </c>
      <c r="S11" t="n">
        <v>86.2596374638939</v>
      </c>
      <c r="T11" t="n">
        <v>87.9658257026169</v>
      </c>
      <c r="U11" t="n">
        <v>90.6719639535952</v>
      </c>
      <c r="V11" t="n">
        <v>92.5404904854586</v>
      </c>
      <c r="W11" t="n">
        <v>97.5725353540566</v>
      </c>
      <c r="X11" t="n">
        <v>96.2497895256591</v>
      </c>
      <c r="Y11" t="n">
        <v>94.6337417712259</v>
      </c>
      <c r="Z11" t="n">
        <v>94.0809497500954</v>
      </c>
      <c r="AA11" t="n">
        <v>94.5488915518721</v>
      </c>
      <c r="AB11" t="n">
        <v>95.9680451151677</v>
      </c>
      <c r="AC11" t="n">
        <v>98.3888542719944</v>
      </c>
      <c r="AD11" t="n">
        <v>100.232456754196</v>
      </c>
      <c r="AE11" t="n">
        <v>100</v>
      </c>
      <c r="AF11" t="n">
        <v>107.57259172876</v>
      </c>
    </row>
    <row r="12">
      <c r="A12" t="s">
        <v>31</v>
      </c>
      <c r="B12" t="s">
        <v>181</v>
      </c>
      <c r="C12" t="s">
        <v>129</v>
      </c>
      <c r="D12" t="s">
        <v>182</v>
      </c>
      <c r="E12" t="s">
        <v>130</v>
      </c>
      <c r="F12" t="n">
        <v>37.5078790569402</v>
      </c>
      <c r="G12" t="n">
        <v>44.4145158095767</v>
      </c>
      <c r="H12" t="n">
        <v>51.291939101452</v>
      </c>
      <c r="I12" t="n">
        <v>56.2821810733699</v>
      </c>
      <c r="J12" t="n">
        <v>61.6569304339727</v>
      </c>
      <c r="K12" t="n">
        <v>67.0821525143691</v>
      </c>
      <c r="L12" t="n">
        <v>67.5916021157627</v>
      </c>
      <c r="M12" t="n">
        <v>65.4359360034925</v>
      </c>
      <c r="N12" t="n">
        <v>67.4193666159207</v>
      </c>
      <c r="O12" t="n">
        <v>68.4529571006862</v>
      </c>
      <c r="P12" t="n">
        <v>71.8534218399733</v>
      </c>
      <c r="Q12" t="n">
        <v>78.4950718107579</v>
      </c>
      <c r="R12" t="n">
        <v>81.8543958064295</v>
      </c>
      <c r="S12" t="n">
        <v>79.6097309215296</v>
      </c>
      <c r="T12" t="n">
        <v>80.5090918805891</v>
      </c>
      <c r="U12" t="n">
        <v>83.8266848111835</v>
      </c>
      <c r="V12" t="n">
        <v>86.6573237363529</v>
      </c>
      <c r="W12" t="n">
        <v>90.0998466314955</v>
      </c>
      <c r="X12" t="n">
        <v>89.6087040578919</v>
      </c>
      <c r="Y12" t="n">
        <v>89.0874081246209</v>
      </c>
      <c r="Z12" t="n">
        <v>88.8761903637119</v>
      </c>
      <c r="AA12" t="n">
        <v>89.2770583444502</v>
      </c>
      <c r="AB12" t="n">
        <v>92.1949501227018</v>
      </c>
      <c r="AC12" t="n">
        <v>95.6882865047614</v>
      </c>
      <c r="AD12" t="n">
        <v>99.0372291215402</v>
      </c>
      <c r="AE12" t="n">
        <v>100</v>
      </c>
      <c r="AF12" t="n">
        <v>110.188030383371</v>
      </c>
    </row>
    <row r="13">
      <c r="A13" t="s">
        <v>31</v>
      </c>
      <c r="B13" t="s">
        <v>183</v>
      </c>
      <c r="C13" t="s">
        <v>129</v>
      </c>
      <c r="D13" t="s">
        <v>184</v>
      </c>
      <c r="E13" t="s">
        <v>130</v>
      </c>
      <c r="F13" t="n">
        <v>35.9480960376366</v>
      </c>
      <c r="G13" t="n">
        <v>40.7300207313511</v>
      </c>
      <c r="H13" t="n">
        <v>47.0893254155168</v>
      </c>
      <c r="I13" t="n">
        <v>53.5254445953438</v>
      </c>
      <c r="J13" t="n">
        <v>56.464842223689</v>
      </c>
      <c r="K13" t="n">
        <v>60.0237650492298</v>
      </c>
      <c r="L13" t="n">
        <v>59.6471284907997</v>
      </c>
      <c r="M13" t="n">
        <v>56.429104957267</v>
      </c>
      <c r="N13" t="n">
        <v>57.9214678872485</v>
      </c>
      <c r="O13" t="n">
        <v>63.0339612152077</v>
      </c>
      <c r="P13" t="n">
        <v>66.5346286507198</v>
      </c>
      <c r="Q13" t="n">
        <v>72.1489700518043</v>
      </c>
      <c r="R13" t="n">
        <v>74.6963557980942</v>
      </c>
      <c r="S13" t="n">
        <v>73.2855858933867</v>
      </c>
      <c r="T13" t="n">
        <v>71.1000122175386</v>
      </c>
      <c r="U13" t="n">
        <v>79.8128362821995</v>
      </c>
      <c r="V13" t="n">
        <v>83.7920660401726</v>
      </c>
      <c r="W13" t="n">
        <v>86.7205374975187</v>
      </c>
      <c r="X13" t="n">
        <v>84.9915638862817</v>
      </c>
      <c r="Y13" t="n">
        <v>85.2595072205325</v>
      </c>
      <c r="Z13" t="n">
        <v>85.0012610718905</v>
      </c>
      <c r="AA13" t="n">
        <v>84.9869639990158</v>
      </c>
      <c r="AB13" t="n">
        <v>89.8572396092664</v>
      </c>
      <c r="AC13" t="n">
        <v>95.5945856283768</v>
      </c>
      <c r="AD13" t="n">
        <v>97.6570102512781</v>
      </c>
      <c r="AE13" t="n">
        <v>100</v>
      </c>
      <c r="AF13" t="n">
        <v>119.004615840043</v>
      </c>
    </row>
    <row r="14">
      <c r="A14" t="s">
        <v>31</v>
      </c>
      <c r="B14" t="s">
        <v>185</v>
      </c>
      <c r="C14" t="s">
        <v>129</v>
      </c>
      <c r="D14" t="s">
        <v>186</v>
      </c>
      <c r="E14" t="s">
        <v>130</v>
      </c>
      <c r="F14" t="n">
        <v>119.361291174616</v>
      </c>
      <c r="G14" t="n">
        <v>129.81424462834</v>
      </c>
      <c r="H14" t="n">
        <v>142.094302774012</v>
      </c>
      <c r="I14" t="n">
        <v>141.440237196038</v>
      </c>
      <c r="J14" t="n">
        <v>149.682143230124</v>
      </c>
      <c r="K14" t="n">
        <v>150.925524753262</v>
      </c>
      <c r="L14" t="n">
        <v>147.871302776146</v>
      </c>
      <c r="M14" t="n">
        <v>134.781886239098</v>
      </c>
      <c r="N14" t="n">
        <v>119.487620948177</v>
      </c>
      <c r="O14" t="n">
        <v>108.958157127147</v>
      </c>
      <c r="P14" t="n">
        <v>105.899224549982</v>
      </c>
      <c r="Q14" t="n">
        <v>103.886146954153</v>
      </c>
      <c r="R14" t="n">
        <v>101.56237548773</v>
      </c>
      <c r="S14" t="n">
        <v>95.4210016627695</v>
      </c>
      <c r="T14" t="n">
        <v>101.385661926578</v>
      </c>
      <c r="U14" t="n">
        <v>100.635282674249</v>
      </c>
      <c r="V14" t="n">
        <v>101.691536555798</v>
      </c>
      <c r="W14" t="n">
        <v>102.146968157951</v>
      </c>
      <c r="X14" t="n">
        <v>99.6735767155872</v>
      </c>
      <c r="Y14" t="n">
        <v>97.760248756138</v>
      </c>
      <c r="Z14" t="n">
        <v>100.938475549323</v>
      </c>
      <c r="AA14" t="n">
        <v>99.1637787741932</v>
      </c>
      <c r="AB14" t="n">
        <v>96.7472369149707</v>
      </c>
      <c r="AC14" t="n">
        <v>95.3449728898816</v>
      </c>
      <c r="AD14" t="n">
        <v>97.9717900854985</v>
      </c>
      <c r="AE14" t="n">
        <v>100</v>
      </c>
      <c r="AF14" t="n">
        <v>103.003672876054</v>
      </c>
    </row>
    <row r="15">
      <c r="A15" t="s">
        <v>31</v>
      </c>
      <c r="B15" t="s">
        <v>187</v>
      </c>
      <c r="C15" t="s">
        <v>129</v>
      </c>
      <c r="D15" t="s">
        <v>188</v>
      </c>
      <c r="E15" t="s">
        <v>130</v>
      </c>
      <c r="F15" t="n">
        <v>96.0073644018981</v>
      </c>
      <c r="G15" t="n">
        <v>106.473209220528</v>
      </c>
      <c r="H15" t="n">
        <v>118.008232660648</v>
      </c>
      <c r="I15" t="n">
        <v>120.789027595783</v>
      </c>
      <c r="J15" t="n">
        <v>128.02778944654</v>
      </c>
      <c r="K15" t="n">
        <v>131.364540300335</v>
      </c>
      <c r="L15" t="n">
        <v>129.594392549638</v>
      </c>
      <c r="M15" t="n">
        <v>119.008678993629</v>
      </c>
      <c r="N15" t="n">
        <v>109.955707521487</v>
      </c>
      <c r="O15" t="n">
        <v>101.420698414128</v>
      </c>
      <c r="P15" t="n">
        <v>98.4296610878884</v>
      </c>
      <c r="Q15" t="n">
        <v>98.435535785565</v>
      </c>
      <c r="R15" t="n">
        <v>96.8511994682362</v>
      </c>
      <c r="S15" t="n">
        <v>91.9104764586164</v>
      </c>
      <c r="T15" t="n">
        <v>97.3309664253711</v>
      </c>
      <c r="U15" t="n">
        <v>97.1344987483624</v>
      </c>
      <c r="V15" t="n">
        <v>98.3492355292461</v>
      </c>
      <c r="W15" t="n">
        <v>99.0449419088005</v>
      </c>
      <c r="X15" t="n">
        <v>96.8639390843778</v>
      </c>
      <c r="Y15" t="n">
        <v>95.0439267989463</v>
      </c>
      <c r="Z15" t="n">
        <v>97.6731915833322</v>
      </c>
      <c r="AA15" t="n">
        <v>96.4196413299819</v>
      </c>
      <c r="AB15" t="n">
        <v>95.3087934961391</v>
      </c>
      <c r="AC15" t="n">
        <v>94.934878237688</v>
      </c>
      <c r="AD15" t="n">
        <v>97.4134364175858</v>
      </c>
      <c r="AE15" t="n">
        <v>100</v>
      </c>
      <c r="AF15" t="n">
        <v>105.409784723175</v>
      </c>
    </row>
    <row r="16">
      <c r="A16" t="s">
        <v>31</v>
      </c>
      <c r="B16" t="s">
        <v>189</v>
      </c>
      <c r="C16" t="s">
        <v>129</v>
      </c>
      <c r="D16" t="s">
        <v>190</v>
      </c>
      <c r="E16" t="s">
        <v>130</v>
      </c>
      <c r="F16" t="n">
        <v>48.3553097471869</v>
      </c>
      <c r="G16" t="n">
        <v>55.0807322646262</v>
      </c>
      <c r="H16" t="n">
        <v>63.3293973263556</v>
      </c>
      <c r="I16" t="n">
        <v>72.1652527887727</v>
      </c>
      <c r="J16" t="n">
        <v>77.015806188759</v>
      </c>
      <c r="K16" t="n">
        <v>81.9131107376092</v>
      </c>
      <c r="L16" t="n">
        <v>81.8875801176485</v>
      </c>
      <c r="M16" t="n">
        <v>76.259574477295</v>
      </c>
      <c r="N16" t="n">
        <v>81.1699249382433</v>
      </c>
      <c r="O16" t="n">
        <v>78.5001945922958</v>
      </c>
      <c r="P16" t="n">
        <v>75.7402958021187</v>
      </c>
      <c r="Q16" t="n">
        <v>81.8429415683848</v>
      </c>
      <c r="R16" t="n">
        <v>82.6280882198489</v>
      </c>
      <c r="S16" t="n">
        <v>81.385275807608</v>
      </c>
      <c r="T16" t="n">
        <v>84.6848588371912</v>
      </c>
      <c r="U16" t="n">
        <v>87.1361721195138</v>
      </c>
      <c r="V16" t="n">
        <v>89.1756156363967</v>
      </c>
      <c r="W16" t="n">
        <v>90.7766738363504</v>
      </c>
      <c r="X16" t="n">
        <v>89.4382937583079</v>
      </c>
      <c r="Y16" t="n">
        <v>87.8667136031301</v>
      </c>
      <c r="Z16" t="n">
        <v>89.0883753088831</v>
      </c>
      <c r="AA16" t="n">
        <v>89.1966872288041</v>
      </c>
      <c r="AB16" t="n">
        <v>91.4981462781616</v>
      </c>
      <c r="AC16" t="n">
        <v>94.0177142146244</v>
      </c>
      <c r="AD16" t="n">
        <v>96.128782948771</v>
      </c>
      <c r="AE16" t="n">
        <v>100</v>
      </c>
      <c r="AF16" t="n">
        <v>109.324820482415</v>
      </c>
    </row>
    <row r="17">
      <c r="A17" t="s">
        <v>31</v>
      </c>
      <c r="B17" t="s">
        <v>191</v>
      </c>
      <c r="C17" t="s">
        <v>129</v>
      </c>
      <c r="D17" t="s">
        <v>192</v>
      </c>
      <c r="E17" t="s">
        <v>130</v>
      </c>
      <c r="F17" t="n">
        <v>39.985587058398</v>
      </c>
      <c r="G17" t="n">
        <v>46.0982152474717</v>
      </c>
      <c r="H17" t="n">
        <v>54.5963045897531</v>
      </c>
      <c r="I17" t="n">
        <v>60.9445848291341</v>
      </c>
      <c r="J17" t="n">
        <v>65.6187738972103</v>
      </c>
      <c r="K17" t="n">
        <v>68.8600018868829</v>
      </c>
      <c r="L17" t="n">
        <v>69.604580719623</v>
      </c>
      <c r="M17" t="n">
        <v>66.6053918882992</v>
      </c>
      <c r="N17" t="n">
        <v>68.9362689997806</v>
      </c>
      <c r="O17" t="n">
        <v>70.627770958638</v>
      </c>
      <c r="P17" t="n">
        <v>74.6949529864094</v>
      </c>
      <c r="Q17" t="n">
        <v>82.3205491865629</v>
      </c>
      <c r="R17" t="n">
        <v>84.494959416236</v>
      </c>
      <c r="S17" t="n">
        <v>82.0546784529427</v>
      </c>
      <c r="T17" t="n">
        <v>84.4437841057272</v>
      </c>
      <c r="U17" t="n">
        <v>87.2592073236152</v>
      </c>
      <c r="V17" t="n">
        <v>90.8265544079385</v>
      </c>
      <c r="W17" t="n">
        <v>89.860486289171</v>
      </c>
      <c r="X17" t="n">
        <v>89.1752801247286</v>
      </c>
      <c r="Y17" t="n">
        <v>88.3378578475583</v>
      </c>
      <c r="Z17" t="n">
        <v>89.1052395329932</v>
      </c>
      <c r="AA17" t="n">
        <v>90.8520890464033</v>
      </c>
      <c r="AB17" t="n">
        <v>91.4947348945333</v>
      </c>
      <c r="AC17" t="n">
        <v>93.7112437063992</v>
      </c>
      <c r="AD17" t="n">
        <v>96.3533746678477</v>
      </c>
      <c r="AE17" t="n">
        <v>100</v>
      </c>
      <c r="AF17" t="n">
        <v>107.52857830288</v>
      </c>
    </row>
    <row r="18">
      <c r="A18" t="s">
        <v>31</v>
      </c>
      <c r="B18" t="s">
        <v>193</v>
      </c>
      <c r="C18" t="s">
        <v>129</v>
      </c>
      <c r="D18" t="s">
        <v>194</v>
      </c>
      <c r="E18" t="s">
        <v>130</v>
      </c>
      <c r="F18" t="n">
        <v>49.3186870749655</v>
      </c>
      <c r="G18" t="n">
        <v>53.2736722056915</v>
      </c>
      <c r="H18" t="n">
        <v>60.209337191861</v>
      </c>
      <c r="I18" t="n">
        <v>69.7022163507486</v>
      </c>
      <c r="J18" t="n">
        <v>73.8591161227781</v>
      </c>
      <c r="K18" t="n">
        <v>76.7197318660718</v>
      </c>
      <c r="L18" t="n">
        <v>74.7205837033464</v>
      </c>
      <c r="M18" t="n">
        <v>69.8580271431835</v>
      </c>
      <c r="N18" t="n">
        <v>70.7134142945061</v>
      </c>
      <c r="O18" t="n">
        <v>70.2310373304825</v>
      </c>
      <c r="P18" t="n">
        <v>72.9643065311135</v>
      </c>
      <c r="Q18" t="n">
        <v>78.0540527117082</v>
      </c>
      <c r="R18" t="n">
        <v>77.8314575681273</v>
      </c>
      <c r="S18" t="n">
        <v>76.2519418094048</v>
      </c>
      <c r="T18" t="n">
        <v>81.7491362554837</v>
      </c>
      <c r="U18" t="n">
        <v>81.3538632317737</v>
      </c>
      <c r="V18" t="n">
        <v>83.0791558211447</v>
      </c>
      <c r="W18" t="n">
        <v>86.6858610187882</v>
      </c>
      <c r="X18" t="n">
        <v>86.3868520855669</v>
      </c>
      <c r="Y18" t="n">
        <v>87.109041149278</v>
      </c>
      <c r="Z18" t="n">
        <v>88.1289579763773</v>
      </c>
      <c r="AA18" t="n">
        <v>89.6425253480924</v>
      </c>
      <c r="AB18" t="n">
        <v>89.7429566243871</v>
      </c>
      <c r="AC18" t="n">
        <v>92.4940852581407</v>
      </c>
      <c r="AD18" t="n">
        <v>95.2095720603329</v>
      </c>
      <c r="AE18" t="n">
        <v>100</v>
      </c>
      <c r="AF18" t="n">
        <v>104.107459044065</v>
      </c>
    </row>
    <row r="19">
      <c r="A19" t="s">
        <v>31</v>
      </c>
      <c r="B19" t="s">
        <v>195</v>
      </c>
      <c r="C19" t="s">
        <v>129</v>
      </c>
      <c r="D19" t="s">
        <v>196</v>
      </c>
      <c r="E19" t="s">
        <v>130</v>
      </c>
      <c r="F19" t="n">
        <v>33.0032295659455</v>
      </c>
      <c r="G19" t="n">
        <v>37.7928926814664</v>
      </c>
      <c r="H19" t="n">
        <v>42.5301101438137</v>
      </c>
      <c r="I19" t="n">
        <v>47.7904726572938</v>
      </c>
      <c r="J19" t="n">
        <v>51.6478561680265</v>
      </c>
      <c r="K19" t="n">
        <v>54.9062985087541</v>
      </c>
      <c r="L19" t="n">
        <v>54.2027722572988</v>
      </c>
      <c r="M19" t="n">
        <v>52.2437041719186</v>
      </c>
      <c r="N19" t="n">
        <v>56.7631272640958</v>
      </c>
      <c r="O19" t="n">
        <v>59.9762435322538</v>
      </c>
      <c r="P19" t="n">
        <v>64.3367041978233</v>
      </c>
      <c r="Q19" t="n">
        <v>70.7349758319828</v>
      </c>
      <c r="R19" t="n">
        <v>73.0729965822194</v>
      </c>
      <c r="S19" t="n">
        <v>77.5829854594863</v>
      </c>
      <c r="T19" t="n">
        <v>80.8620555798503</v>
      </c>
      <c r="U19" t="n">
        <v>81.9015138124508</v>
      </c>
      <c r="V19" t="n">
        <v>83.300858600081</v>
      </c>
      <c r="W19" t="n">
        <v>84.9946656058004</v>
      </c>
      <c r="X19" t="n">
        <v>84.7048334042148</v>
      </c>
      <c r="Y19" t="n">
        <v>85.9931493208115</v>
      </c>
      <c r="Z19" t="n">
        <v>87.4827341590088</v>
      </c>
      <c r="AA19" t="n">
        <v>91.2064608269014</v>
      </c>
      <c r="AB19" t="n">
        <v>92.8706505978273</v>
      </c>
      <c r="AC19" t="n">
        <v>94.7190165327955</v>
      </c>
      <c r="AD19" t="n">
        <v>97.6566879849473</v>
      </c>
      <c r="AE19" t="n">
        <v>100</v>
      </c>
      <c r="AF19" t="n">
        <v>108.190309139487</v>
      </c>
    </row>
    <row r="20">
      <c r="A20" t="s">
        <v>31</v>
      </c>
      <c r="B20" t="s">
        <v>197</v>
      </c>
      <c r="C20" t="s">
        <v>129</v>
      </c>
      <c r="D20" t="s">
        <v>198</v>
      </c>
      <c r="E20" t="s">
        <v>130</v>
      </c>
      <c r="F20" t="n">
        <v>20.6623535214302</v>
      </c>
      <c r="G20" t="n">
        <v>25.4343564441117</v>
      </c>
      <c r="H20" t="n">
        <v>31.1829128600566</v>
      </c>
      <c r="I20" t="n">
        <v>35.8825005297912</v>
      </c>
      <c r="J20" t="n">
        <v>39.7723155673734</v>
      </c>
      <c r="K20" t="n">
        <v>43.6384600629877</v>
      </c>
      <c r="L20" t="n">
        <v>47.2537006413419</v>
      </c>
      <c r="M20" t="n">
        <v>44.0400465886663</v>
      </c>
      <c r="N20" t="n">
        <v>44.5840863018733</v>
      </c>
      <c r="O20" t="n">
        <v>49.9422704280563</v>
      </c>
      <c r="P20" t="n">
        <v>56.8019203681176</v>
      </c>
      <c r="Q20" t="n">
        <v>73.7506736938777</v>
      </c>
      <c r="R20" t="n">
        <v>78.230391298713</v>
      </c>
      <c r="S20" t="n">
        <v>91.9372385211261</v>
      </c>
      <c r="T20" t="n">
        <v>90.0665476492618</v>
      </c>
      <c r="U20" t="n">
        <v>97.9998720613443</v>
      </c>
      <c r="V20" t="n">
        <v>107.509218150059</v>
      </c>
      <c r="W20" t="n">
        <v>111.604506350878</v>
      </c>
      <c r="X20" t="n">
        <v>109.199509353376</v>
      </c>
      <c r="Y20" t="n">
        <v>102.69069381217</v>
      </c>
      <c r="Z20" t="n">
        <v>97.180345028153</v>
      </c>
      <c r="AA20" t="n">
        <v>91.8640223552981</v>
      </c>
      <c r="AB20" t="n">
        <v>95.7636631903235</v>
      </c>
      <c r="AC20" t="n">
        <v>103.001628209122</v>
      </c>
      <c r="AD20" t="n">
        <v>104.29634283334</v>
      </c>
      <c r="AE20" t="n">
        <v>100</v>
      </c>
      <c r="AF20" t="n">
        <v>134.187720149126</v>
      </c>
    </row>
    <row r="21">
      <c r="A21" t="s">
        <v>31</v>
      </c>
      <c r="B21" t="s">
        <v>199</v>
      </c>
      <c r="C21" t="s">
        <v>129</v>
      </c>
      <c r="D21" t="s">
        <v>200</v>
      </c>
      <c r="E21" t="s">
        <v>130</v>
      </c>
      <c r="F21" t="n">
        <v>21.431471903513</v>
      </c>
      <c r="G21" t="n">
        <v>26.2424288801567</v>
      </c>
      <c r="H21" t="n">
        <v>31.9959977339516</v>
      </c>
      <c r="I21" t="n">
        <v>36.8038937580622</v>
      </c>
      <c r="J21" t="n">
        <v>40.8299218956108</v>
      </c>
      <c r="K21" t="n">
        <v>44.5909895330126</v>
      </c>
      <c r="L21" t="n">
        <v>47.4561969286983</v>
      </c>
      <c r="M21" t="n">
        <v>45.0289826702391</v>
      </c>
      <c r="N21" t="n">
        <v>46.7284603479524</v>
      </c>
      <c r="O21" t="n">
        <v>51.8818580567375</v>
      </c>
      <c r="P21" t="n">
        <v>58.6670362474198</v>
      </c>
      <c r="Q21" t="n">
        <v>72.1237152686853</v>
      </c>
      <c r="R21" t="n">
        <v>76.063312021348</v>
      </c>
      <c r="S21" t="n">
        <v>87.1874928502699</v>
      </c>
      <c r="T21" t="n">
        <v>86.295186834665</v>
      </c>
      <c r="U21" t="n">
        <v>93.0838259836183</v>
      </c>
      <c r="V21" t="n">
        <v>101.525850473068</v>
      </c>
      <c r="W21" t="n">
        <v>105.334372393855</v>
      </c>
      <c r="X21" t="n">
        <v>103.464555824369</v>
      </c>
      <c r="Y21" t="n">
        <v>98.5227053907562</v>
      </c>
      <c r="Z21" t="n">
        <v>94.4427785182497</v>
      </c>
      <c r="AA21" t="n">
        <v>90.6253642764652</v>
      </c>
      <c r="AB21" t="n">
        <v>94.1274785814979</v>
      </c>
      <c r="AC21" t="n">
        <v>100.167294064787</v>
      </c>
      <c r="AD21" t="n">
        <v>102.161975355186</v>
      </c>
      <c r="AE21" t="n">
        <v>100</v>
      </c>
      <c r="AF21" t="n">
        <v>129.697387515641</v>
      </c>
    </row>
    <row r="22">
      <c r="A22" t="s">
        <v>31</v>
      </c>
      <c r="B22" t="s">
        <v>201</v>
      </c>
      <c r="C22" t="s">
        <v>129</v>
      </c>
      <c r="D22" t="s">
        <v>202</v>
      </c>
      <c r="E22" t="s">
        <v>130</v>
      </c>
      <c r="F22" t="n">
        <v>25.8168402340138</v>
      </c>
      <c r="G22" t="n">
        <v>30.6473728048961</v>
      </c>
      <c r="H22" t="n">
        <v>36.179753119369</v>
      </c>
      <c r="I22" t="n">
        <v>41.537755598043</v>
      </c>
      <c r="J22" t="n">
        <v>46.2441587390803</v>
      </c>
      <c r="K22" t="n">
        <v>49.9365323421792</v>
      </c>
      <c r="L22" t="n">
        <v>51.0074532790071</v>
      </c>
      <c r="M22" t="n">
        <v>50.6850101993936</v>
      </c>
      <c r="N22" t="n">
        <v>56.4550577146403</v>
      </c>
      <c r="O22" t="n">
        <v>61.0865204518331</v>
      </c>
      <c r="P22" t="n">
        <v>67.9542981126581</v>
      </c>
      <c r="Q22" t="n">
        <v>72.0153290109758</v>
      </c>
      <c r="R22" t="n">
        <v>74.4272920714849</v>
      </c>
      <c r="S22" t="n">
        <v>77.544172534085</v>
      </c>
      <c r="T22" t="n">
        <v>79.5613229958654</v>
      </c>
      <c r="U22" t="n">
        <v>83.44224629041</v>
      </c>
      <c r="V22" t="n">
        <v>89.4320557113055</v>
      </c>
      <c r="W22" t="n">
        <v>92.6324445153692</v>
      </c>
      <c r="X22" t="n">
        <v>91.9751549357554</v>
      </c>
      <c r="Y22" t="n">
        <v>90.1803824741116</v>
      </c>
      <c r="Z22" t="n">
        <v>89.0633315239797</v>
      </c>
      <c r="AA22" t="n">
        <v>88.2158790366305</v>
      </c>
      <c r="AB22" t="n">
        <v>90.9621944456242</v>
      </c>
      <c r="AC22" t="n">
        <v>94.7005282876459</v>
      </c>
      <c r="AD22" t="n">
        <v>98.069192190344</v>
      </c>
      <c r="AE22" t="n">
        <v>100</v>
      </c>
      <c r="AF22" t="n">
        <v>119.037495347972</v>
      </c>
    </row>
    <row r="23">
      <c r="A23" t="s">
        <v>31</v>
      </c>
      <c r="B23" t="s">
        <v>203</v>
      </c>
      <c r="C23" t="s">
        <v>129</v>
      </c>
      <c r="D23" t="s">
        <v>204</v>
      </c>
      <c r="E23" t="s">
        <v>130</v>
      </c>
      <c r="F23" t="n">
        <v>27.1106261856849</v>
      </c>
      <c r="G23" t="n">
        <v>33.0785638558163</v>
      </c>
      <c r="H23" t="n">
        <v>37.7901260992816</v>
      </c>
      <c r="I23" t="n">
        <v>41.803264268284</v>
      </c>
      <c r="J23" t="n">
        <v>46.4508599854179</v>
      </c>
      <c r="K23" t="n">
        <v>50.5150786935319</v>
      </c>
      <c r="L23" t="n">
        <v>51.7038431997499</v>
      </c>
      <c r="M23" t="n">
        <v>51.4281239055346</v>
      </c>
      <c r="N23" t="n">
        <v>54.2585784247545</v>
      </c>
      <c r="O23" t="n">
        <v>55.6445327340115</v>
      </c>
      <c r="P23" t="n">
        <v>58.9332686258733</v>
      </c>
      <c r="Q23" t="n">
        <v>63.4757033473657</v>
      </c>
      <c r="R23" t="n">
        <v>67.8521041957655</v>
      </c>
      <c r="S23" t="n">
        <v>68.9886272486664</v>
      </c>
      <c r="T23" t="n">
        <v>72.3066638944026</v>
      </c>
      <c r="U23" t="n">
        <v>74.4369114508735</v>
      </c>
      <c r="V23" t="n">
        <v>77.0791979338274</v>
      </c>
      <c r="W23" t="n">
        <v>78.5566020140481</v>
      </c>
      <c r="X23" t="n">
        <v>78.3278212213778</v>
      </c>
      <c r="Y23" t="n">
        <v>79.0406407845039</v>
      </c>
      <c r="Z23" t="n">
        <v>80.9206808117841</v>
      </c>
      <c r="AA23" t="n">
        <v>83.3294971397001</v>
      </c>
      <c r="AB23" t="n">
        <v>86.0286192354077</v>
      </c>
      <c r="AC23" t="n">
        <v>90.5291356546238</v>
      </c>
      <c r="AD23" t="n">
        <v>96.1747929700231</v>
      </c>
      <c r="AE23" t="n">
        <v>100</v>
      </c>
      <c r="AF23" t="n">
        <v>109.607687795986</v>
      </c>
    </row>
    <row r="24">
      <c r="A24" t="s">
        <v>31</v>
      </c>
      <c r="B24" t="s">
        <v>205</v>
      </c>
      <c r="C24" t="s">
        <v>129</v>
      </c>
      <c r="D24" t="s">
        <v>206</v>
      </c>
      <c r="E24" t="s">
        <v>130</v>
      </c>
      <c r="F24" t="n">
        <v>30.1649709910277</v>
      </c>
      <c r="G24" t="n">
        <v>35.8791750647786</v>
      </c>
      <c r="H24" t="n">
        <v>40.9970630230384</v>
      </c>
      <c r="I24" t="n">
        <v>43.0746507494439</v>
      </c>
      <c r="J24" t="n">
        <v>48.9574434804993</v>
      </c>
      <c r="K24" t="n">
        <v>54.172277339583</v>
      </c>
      <c r="L24" t="n">
        <v>51.9262378069621</v>
      </c>
      <c r="M24" t="n">
        <v>51.3193640457184</v>
      </c>
      <c r="N24" t="n">
        <v>56.8593255581273</v>
      </c>
      <c r="O24" t="n">
        <v>59.0743462273456</v>
      </c>
      <c r="P24" t="n">
        <v>63.0775116416506</v>
      </c>
      <c r="Q24" t="n">
        <v>68.658064154142</v>
      </c>
      <c r="R24" t="n">
        <v>72.3557940317025</v>
      </c>
      <c r="S24" t="n">
        <v>80.2552279637495</v>
      </c>
      <c r="T24" t="n">
        <v>83.0382288637239</v>
      </c>
      <c r="U24" t="n">
        <v>85.535318859738</v>
      </c>
      <c r="V24" t="n">
        <v>89.8265419716201</v>
      </c>
      <c r="W24" t="n">
        <v>94.2269847054527</v>
      </c>
      <c r="X24" t="n">
        <v>91.9727835442711</v>
      </c>
      <c r="Y24" t="n">
        <v>90.777215976468</v>
      </c>
      <c r="Z24" t="n">
        <v>90.9066066532202</v>
      </c>
      <c r="AA24" t="n">
        <v>91.6005284447972</v>
      </c>
      <c r="AB24" t="n">
        <v>93.3435237195611</v>
      </c>
      <c r="AC24" t="n">
        <v>94.8447110551462</v>
      </c>
      <c r="AD24" t="n">
        <v>99.0787673319706</v>
      </c>
      <c r="AE24" t="n">
        <v>100</v>
      </c>
      <c r="AF24" t="n">
        <v>107.567024468284</v>
      </c>
    </row>
    <row r="25">
      <c r="A25" t="s">
        <v>31</v>
      </c>
      <c r="B25" t="s">
        <v>207</v>
      </c>
      <c r="C25" t="s">
        <v>129</v>
      </c>
      <c r="D25" t="s">
        <v>208</v>
      </c>
      <c r="E25" t="s">
        <v>130</v>
      </c>
      <c r="F25" t="n">
        <v>39.3710967258896</v>
      </c>
      <c r="G25" t="n">
        <v>46.9459059723959</v>
      </c>
      <c r="H25" t="n">
        <v>53.7586348104255</v>
      </c>
      <c r="I25" t="n">
        <v>56.5598374188467</v>
      </c>
      <c r="J25" t="n">
        <v>64.8187202748997</v>
      </c>
      <c r="K25" t="n">
        <v>71.5947607193775</v>
      </c>
      <c r="L25" t="n">
        <v>66.6047856664106</v>
      </c>
      <c r="M25" t="n">
        <v>65.7251444890099</v>
      </c>
      <c r="N25" t="n">
        <v>72.4652661705732</v>
      </c>
      <c r="O25" t="n">
        <v>72.9784413183968</v>
      </c>
      <c r="P25" t="n">
        <v>75.9838545366475</v>
      </c>
      <c r="Q25" t="n">
        <v>82.4630804230045</v>
      </c>
      <c r="R25" t="n">
        <v>83.4642397453265</v>
      </c>
      <c r="S25" t="n">
        <v>84.5337118565373</v>
      </c>
      <c r="T25" t="n">
        <v>86.3026390085554</v>
      </c>
      <c r="U25" t="n">
        <v>88.8610087996482</v>
      </c>
      <c r="V25" t="n">
        <v>91.3081929466746</v>
      </c>
      <c r="W25" t="n">
        <v>95.0419593475751</v>
      </c>
      <c r="X25" t="n">
        <v>93.1773960188392</v>
      </c>
      <c r="Y25" t="n">
        <v>91.6462092629557</v>
      </c>
      <c r="Z25" t="n">
        <v>93.3025508427613</v>
      </c>
      <c r="AA25" t="n">
        <v>95.1018575772293</v>
      </c>
      <c r="AB25" t="n">
        <v>94.9438387092008</v>
      </c>
      <c r="AC25" t="n">
        <v>95.426994219828</v>
      </c>
      <c r="AD25" t="n">
        <v>98.2443654078122</v>
      </c>
      <c r="AE25" t="n">
        <v>100</v>
      </c>
      <c r="AF25" t="n">
        <v>105.046440806315</v>
      </c>
    </row>
    <row r="26">
      <c r="A26" t="s">
        <v>31</v>
      </c>
      <c r="B26" t="s">
        <v>209</v>
      </c>
      <c r="C26" t="s">
        <v>129</v>
      </c>
      <c r="D26" t="s">
        <v>210</v>
      </c>
      <c r="E26" t="s">
        <v>130</v>
      </c>
      <c r="F26" t="n">
        <v>26.4591992513624</v>
      </c>
      <c r="G26" t="n">
        <v>31.4475035924522</v>
      </c>
      <c r="H26" t="n">
        <v>35.6844300549051</v>
      </c>
      <c r="I26" t="n">
        <v>37.975546178149</v>
      </c>
      <c r="J26" t="n">
        <v>42.8380511602575</v>
      </c>
      <c r="K26" t="n">
        <v>47.249670981392</v>
      </c>
      <c r="L26" t="n">
        <v>45.5040161217066</v>
      </c>
      <c r="M26" t="n">
        <v>44.7034005721845</v>
      </c>
      <c r="N26" t="n">
        <v>50.2948344141465</v>
      </c>
      <c r="O26" t="n">
        <v>53.9650859389835</v>
      </c>
      <c r="P26" t="n">
        <v>57.9234236427461</v>
      </c>
      <c r="Q26" t="n">
        <v>63.4634040776375</v>
      </c>
      <c r="R26" t="n">
        <v>67.8192196397182</v>
      </c>
      <c r="S26" t="n">
        <v>79.6510038323588</v>
      </c>
      <c r="T26" t="n">
        <v>82.2673335434879</v>
      </c>
      <c r="U26" t="n">
        <v>84.7237352067682</v>
      </c>
      <c r="V26" t="n">
        <v>89.6530008109289</v>
      </c>
      <c r="W26" t="n">
        <v>93.8532334694982</v>
      </c>
      <c r="X26" t="n">
        <v>90.9870713608872</v>
      </c>
      <c r="Y26" t="n">
        <v>90.0414299108088</v>
      </c>
      <c r="Z26" t="n">
        <v>90.5354878536717</v>
      </c>
      <c r="AA26" t="n">
        <v>91.190639817208</v>
      </c>
      <c r="AB26" t="n">
        <v>93.1446936197264</v>
      </c>
      <c r="AC26" t="n">
        <v>94.6757917896168</v>
      </c>
      <c r="AD26" t="n">
        <v>99.2908293967726</v>
      </c>
      <c r="AE26" t="n">
        <v>100</v>
      </c>
      <c r="AF26" t="n">
        <v>106.615877407024</v>
      </c>
    </row>
    <row r="27">
      <c r="A27" t="s">
        <v>31</v>
      </c>
      <c r="B27" t="s">
        <v>211</v>
      </c>
      <c r="C27" t="s">
        <v>129</v>
      </c>
      <c r="D27" t="s">
        <v>212</v>
      </c>
      <c r="E27" t="s">
        <v>130</v>
      </c>
      <c r="F27" t="n">
        <v>33.2045664343432</v>
      </c>
      <c r="G27" t="n">
        <v>39.5179769940279</v>
      </c>
      <c r="H27" t="n">
        <v>45.7046471820329</v>
      </c>
      <c r="I27" t="n">
        <v>47.06425519687</v>
      </c>
      <c r="J27" t="n">
        <v>54.0356411139467</v>
      </c>
      <c r="K27" t="n">
        <v>60.1685757325942</v>
      </c>
      <c r="L27" t="n">
        <v>57.9449129258845</v>
      </c>
      <c r="M27" t="n">
        <v>57.887530225624</v>
      </c>
      <c r="N27" t="n">
        <v>62.6985529711269</v>
      </c>
      <c r="O27" t="n">
        <v>62.9325204459859</v>
      </c>
      <c r="P27" t="n">
        <v>67.384938139665</v>
      </c>
      <c r="Q27" t="n">
        <v>72.6312191308825</v>
      </c>
      <c r="R27" t="n">
        <v>76.1521430021075</v>
      </c>
      <c r="S27" t="n">
        <v>79.679415404335</v>
      </c>
      <c r="T27" t="n">
        <v>83.1056060146778</v>
      </c>
      <c r="U27" t="n">
        <v>85.6476721199207</v>
      </c>
      <c r="V27" t="n">
        <v>89.4967041715931</v>
      </c>
      <c r="W27" t="n">
        <v>94.4458859867806</v>
      </c>
      <c r="X27" t="n">
        <v>93.063004063378</v>
      </c>
      <c r="Y27" t="n">
        <v>91.5734587564829</v>
      </c>
      <c r="Z27" t="n">
        <v>90.5871495700921</v>
      </c>
      <c r="AA27" t="n">
        <v>90.9816632551791</v>
      </c>
      <c r="AB27" t="n">
        <v>93.055501462543</v>
      </c>
      <c r="AC27" t="n">
        <v>94.8747546259773</v>
      </c>
      <c r="AD27" t="n">
        <v>99.0426007632743</v>
      </c>
      <c r="AE27" t="n">
        <v>100</v>
      </c>
      <c r="AF27" t="n">
        <v>109.983359684753</v>
      </c>
    </row>
    <row r="28">
      <c r="A28" t="s">
        <v>31</v>
      </c>
      <c r="B28" t="s">
        <v>213</v>
      </c>
      <c r="C28" t="s">
        <v>129</v>
      </c>
      <c r="D28" t="s">
        <v>214</v>
      </c>
      <c r="E28" t="s">
        <v>130</v>
      </c>
      <c r="F28" t="n">
        <v>30.6261468414399</v>
      </c>
      <c r="G28" t="n">
        <v>37.3111315969503</v>
      </c>
      <c r="H28" t="n">
        <v>43.7412872908939</v>
      </c>
      <c r="I28" t="n">
        <v>48.3364271697819</v>
      </c>
      <c r="J28" t="n">
        <v>53.5195644831394</v>
      </c>
      <c r="K28" t="n">
        <v>58.6459675102244</v>
      </c>
      <c r="L28" t="n">
        <v>58.65185900391</v>
      </c>
      <c r="M28" t="n">
        <v>56.8660914142966</v>
      </c>
      <c r="N28" t="n">
        <v>59.4121498585402</v>
      </c>
      <c r="O28" t="n">
        <v>61.6316160730991</v>
      </c>
      <c r="P28" t="n">
        <v>68.4800684774384</v>
      </c>
      <c r="Q28" t="n">
        <v>72.2373858472053</v>
      </c>
      <c r="R28" t="n">
        <v>74.4578090920333</v>
      </c>
      <c r="S28" t="n">
        <v>80.5548619198835</v>
      </c>
      <c r="T28" t="n">
        <v>78.0573810139052</v>
      </c>
      <c r="U28" t="n">
        <v>84.7159917120898</v>
      </c>
      <c r="V28" t="n">
        <v>91.9055276034537</v>
      </c>
      <c r="W28" t="n">
        <v>94.8871381515115</v>
      </c>
      <c r="X28" t="n">
        <v>94.0436975842039</v>
      </c>
      <c r="Y28" t="n">
        <v>95.2364297859412</v>
      </c>
      <c r="Z28" t="n">
        <v>93.2882693441968</v>
      </c>
      <c r="AA28" t="n">
        <v>93.3472806607109</v>
      </c>
      <c r="AB28" t="n">
        <v>95.432786900224</v>
      </c>
      <c r="AC28" t="n">
        <v>100.205492404442</v>
      </c>
      <c r="AD28" t="n">
        <v>102.892195790899</v>
      </c>
      <c r="AE28" t="n">
        <v>100</v>
      </c>
      <c r="AF28" t="n">
        <v>109.704766268733</v>
      </c>
    </row>
    <row r="29">
      <c r="A29" t="s">
        <v>31</v>
      </c>
      <c r="B29" t="s">
        <v>215</v>
      </c>
      <c r="C29" t="s">
        <v>129</v>
      </c>
      <c r="D29" t="s">
        <v>216</v>
      </c>
      <c r="E29" t="s">
        <v>130</v>
      </c>
      <c r="F29" t="n">
        <v>29.2976540546227</v>
      </c>
      <c r="G29" t="n">
        <v>34.512130428797</v>
      </c>
      <c r="H29" t="n">
        <v>40.9159154888707</v>
      </c>
      <c r="I29" t="n">
        <v>44.5658519207887</v>
      </c>
      <c r="J29" t="n">
        <v>49.6962192582785</v>
      </c>
      <c r="K29" t="n">
        <v>54.4836642892618</v>
      </c>
      <c r="L29" t="n">
        <v>53.9047162913421</v>
      </c>
      <c r="M29" t="n">
        <v>51.6903816439495</v>
      </c>
      <c r="N29" t="n">
        <v>55.6196367434081</v>
      </c>
      <c r="O29" t="n">
        <v>59.2480350775544</v>
      </c>
      <c r="P29" t="n">
        <v>69.1274397975894</v>
      </c>
      <c r="Q29" t="n">
        <v>69.2014789335233</v>
      </c>
      <c r="R29" t="n">
        <v>72.819294158224</v>
      </c>
      <c r="S29" t="n">
        <v>78.8891879139201</v>
      </c>
      <c r="T29" t="n">
        <v>76.3958035653002</v>
      </c>
      <c r="U29" t="n">
        <v>84.5408791574302</v>
      </c>
      <c r="V29" t="n">
        <v>92.8256902290665</v>
      </c>
      <c r="W29" t="n">
        <v>96.3771125859842</v>
      </c>
      <c r="X29" t="n">
        <v>95.0956061894032</v>
      </c>
      <c r="Y29" t="n">
        <v>96.018311045967</v>
      </c>
      <c r="Z29" t="n">
        <v>94.2401811102511</v>
      </c>
      <c r="AA29" t="n">
        <v>94.7432406930455</v>
      </c>
      <c r="AB29" t="n">
        <v>97.0440808426687</v>
      </c>
      <c r="AC29" t="n">
        <v>101.425185130384</v>
      </c>
      <c r="AD29" t="n">
        <v>103.988443117951</v>
      </c>
      <c r="AE29" t="n">
        <v>100</v>
      </c>
      <c r="AF29" t="n">
        <v>109.786349092167</v>
      </c>
    </row>
    <row r="30">
      <c r="A30" t="s">
        <v>31</v>
      </c>
      <c r="B30" t="s">
        <v>217</v>
      </c>
      <c r="C30" t="s">
        <v>129</v>
      </c>
      <c r="D30" t="s">
        <v>218</v>
      </c>
      <c r="E30" t="s">
        <v>130</v>
      </c>
      <c r="F30" t="n">
        <v>12.3303158897627</v>
      </c>
      <c r="G30" t="n">
        <v>32.2243132657786</v>
      </c>
      <c r="H30" t="n">
        <v>37.2927311262381</v>
      </c>
      <c r="I30" t="n">
        <v>39.4440757219386</v>
      </c>
      <c r="J30" t="n">
        <v>43.8767033075673</v>
      </c>
      <c r="K30" t="n">
        <v>48.0361306916181</v>
      </c>
      <c r="L30" t="n">
        <v>48.0974534116499</v>
      </c>
      <c r="M30" t="n">
        <v>46.7555555484313</v>
      </c>
      <c r="N30" t="n">
        <v>49.5495012354092</v>
      </c>
      <c r="O30" t="n">
        <v>53.7414335433158</v>
      </c>
      <c r="P30" t="n">
        <v>58.9521048564509</v>
      </c>
      <c r="Q30" t="n">
        <v>66.4355163040754</v>
      </c>
      <c r="R30" t="n">
        <v>69.4062403885006</v>
      </c>
      <c r="S30" t="n">
        <v>77.3135164990401</v>
      </c>
      <c r="T30" t="n">
        <v>74.6119725433933</v>
      </c>
      <c r="U30" t="n">
        <v>83.1841114709339</v>
      </c>
      <c r="V30" t="n">
        <v>89.8289629067446</v>
      </c>
      <c r="W30" t="n">
        <v>95.5728128913315</v>
      </c>
      <c r="X30" t="n">
        <v>93.8783362608235</v>
      </c>
      <c r="Y30" t="n">
        <v>96.5118701039564</v>
      </c>
      <c r="Z30" t="n">
        <v>95.3162198601676</v>
      </c>
      <c r="AA30" t="n">
        <v>95.9691505405553</v>
      </c>
      <c r="AB30" t="n">
        <v>97.2413640635713</v>
      </c>
      <c r="AC30" t="n">
        <v>101.626199062243</v>
      </c>
      <c r="AD30" t="n">
        <v>104.17374966449</v>
      </c>
      <c r="AE30" t="n">
        <v>100</v>
      </c>
      <c r="AF30" t="n">
        <v>105.805280204142</v>
      </c>
    </row>
    <row r="31">
      <c r="A31" t="s">
        <v>31</v>
      </c>
      <c r="B31" t="s">
        <v>219</v>
      </c>
      <c r="C31" t="s">
        <v>129</v>
      </c>
      <c r="D31" t="s">
        <v>220</v>
      </c>
      <c r="E31" t="s">
        <v>130</v>
      </c>
      <c r="F31" t="n">
        <v>34.6360631143519</v>
      </c>
      <c r="G31" t="n">
        <v>40.347599173627</v>
      </c>
      <c r="H31" t="n">
        <v>46.1456039698015</v>
      </c>
      <c r="I31" t="n">
        <v>56.580657219169</v>
      </c>
      <c r="J31" t="n">
        <v>62.3459298448166</v>
      </c>
      <c r="K31" t="n">
        <v>68.7298171487072</v>
      </c>
      <c r="L31" t="n">
        <v>68.3562275229571</v>
      </c>
      <c r="M31" t="n">
        <v>66.2704143510714</v>
      </c>
      <c r="N31" t="n">
        <v>68.3180413174866</v>
      </c>
      <c r="O31" t="n">
        <v>69.87304594424</v>
      </c>
      <c r="P31" t="n">
        <v>73.9106384864148</v>
      </c>
      <c r="Q31" t="n">
        <v>79.6337457577664</v>
      </c>
      <c r="R31" t="n">
        <v>81.7530320319109</v>
      </c>
      <c r="S31" t="n">
        <v>91.526461326047</v>
      </c>
      <c r="T31" t="n">
        <v>83.9440819205511</v>
      </c>
      <c r="U31" t="n">
        <v>90.74008530431</v>
      </c>
      <c r="V31" t="n">
        <v>96.3225254750828</v>
      </c>
      <c r="W31" t="n">
        <v>101.728249627815</v>
      </c>
      <c r="X31" t="n">
        <v>104.607885172624</v>
      </c>
      <c r="Y31" t="n">
        <v>107.243832022466</v>
      </c>
      <c r="Z31" t="n">
        <v>98.6701664007514</v>
      </c>
      <c r="AA31" t="n">
        <v>94.7109984079929</v>
      </c>
      <c r="AB31" t="n">
        <v>96.4800741517242</v>
      </c>
      <c r="AC31" t="n">
        <v>105.703886962488</v>
      </c>
      <c r="AD31" t="n">
        <v>107.367287639222</v>
      </c>
      <c r="AE31" t="n">
        <v>100</v>
      </c>
      <c r="AF31" t="n">
        <v>115.224052888248</v>
      </c>
    </row>
    <row r="32">
      <c r="A32" t="s">
        <v>31</v>
      </c>
      <c r="B32" t="s">
        <v>221</v>
      </c>
      <c r="C32" t="s">
        <v>129</v>
      </c>
      <c r="D32" t="s">
        <v>222</v>
      </c>
      <c r="E32" t="s">
        <v>130</v>
      </c>
      <c r="F32" t="n">
        <v>34.6830418495885</v>
      </c>
      <c r="G32" t="n">
        <v>40.9649174516203</v>
      </c>
      <c r="H32" t="n">
        <v>47.1019683529652</v>
      </c>
      <c r="I32" t="n">
        <v>51.7575829151361</v>
      </c>
      <c r="J32" t="n">
        <v>56.2721436357899</v>
      </c>
      <c r="K32" t="n">
        <v>61.3854820482709</v>
      </c>
      <c r="L32" t="n">
        <v>63.7183253404021</v>
      </c>
      <c r="M32" t="n">
        <v>63.931183093794</v>
      </c>
      <c r="N32" t="n">
        <v>62.3244032484756</v>
      </c>
      <c r="O32" t="n">
        <v>60.1745467463462</v>
      </c>
      <c r="P32" t="n">
        <v>59.9362824819774</v>
      </c>
      <c r="Q32" t="n">
        <v>79.0192061639982</v>
      </c>
      <c r="R32" t="n">
        <v>75.3217173244703</v>
      </c>
      <c r="S32" t="n">
        <v>80.3704727533359</v>
      </c>
      <c r="T32" t="n">
        <v>79.4639494017426</v>
      </c>
      <c r="U32" t="n">
        <v>83.2348321831059</v>
      </c>
      <c r="V32" t="n">
        <v>88.9413328919344</v>
      </c>
      <c r="W32" t="n">
        <v>89.6645933059645</v>
      </c>
      <c r="X32" t="n">
        <v>88.5363383284082</v>
      </c>
      <c r="Y32" t="n">
        <v>89.9215466022477</v>
      </c>
      <c r="Z32" t="n">
        <v>89.7278341325741</v>
      </c>
      <c r="AA32" t="n">
        <v>90.4477729196415</v>
      </c>
      <c r="AB32" t="n">
        <v>92.2720881630212</v>
      </c>
      <c r="AC32" t="n">
        <v>95.6729814252802</v>
      </c>
      <c r="AD32" t="n">
        <v>99.2506810992935</v>
      </c>
      <c r="AE32" t="n">
        <v>100</v>
      </c>
      <c r="AF32" t="n">
        <v>107.691393162601</v>
      </c>
    </row>
    <row r="33">
      <c r="A33" t="s">
        <v>31</v>
      </c>
      <c r="B33" t="s">
        <v>223</v>
      </c>
      <c r="C33" t="s">
        <v>129</v>
      </c>
      <c r="D33" t="s">
        <v>224</v>
      </c>
      <c r="E33" t="s">
        <v>130</v>
      </c>
      <c r="F33" t="n">
        <v>43.8284437308171</v>
      </c>
      <c r="G33" t="n">
        <v>51.5819771081053</v>
      </c>
      <c r="H33" t="n">
        <v>59.1704759812334</v>
      </c>
      <c r="I33" t="n">
        <v>63.7260032203096</v>
      </c>
      <c r="J33" t="n">
        <v>70.0929966010072</v>
      </c>
      <c r="K33" t="n">
        <v>76.1860236937384</v>
      </c>
      <c r="L33" t="n">
        <v>76.0785175455346</v>
      </c>
      <c r="M33" t="n">
        <v>74.9630650103428</v>
      </c>
      <c r="N33" t="n">
        <v>70.9478207177842</v>
      </c>
      <c r="O33" t="n">
        <v>70.1067400939482</v>
      </c>
      <c r="P33" t="n">
        <v>70.6512184599515</v>
      </c>
      <c r="Q33" t="n">
        <v>74.6470283359363</v>
      </c>
      <c r="R33" t="n">
        <v>76.970543303869</v>
      </c>
      <c r="S33" t="n">
        <v>79.2798442415523</v>
      </c>
      <c r="T33" t="n">
        <v>81.113293796965</v>
      </c>
      <c r="U33" t="n">
        <v>83.3918395950367</v>
      </c>
      <c r="V33" t="n">
        <v>88.8703408492773</v>
      </c>
      <c r="W33" t="n">
        <v>90.5786446441031</v>
      </c>
      <c r="X33" t="n">
        <v>90.3949879013313</v>
      </c>
      <c r="Y33" t="n">
        <v>90.1926050214662</v>
      </c>
      <c r="Z33" t="n">
        <v>90.8129760635743</v>
      </c>
      <c r="AA33" t="n">
        <v>91.9463262219646</v>
      </c>
      <c r="AB33" t="n">
        <v>93.9520985975071</v>
      </c>
      <c r="AC33" t="n">
        <v>96.2171385745843</v>
      </c>
      <c r="AD33" t="n">
        <v>99.385551759594</v>
      </c>
      <c r="AE33" t="n">
        <v>100</v>
      </c>
      <c r="AF33" t="n">
        <v>105.431403761674</v>
      </c>
    </row>
    <row r="34">
      <c r="A34" t="s">
        <v>31</v>
      </c>
      <c r="B34" t="s">
        <v>225</v>
      </c>
      <c r="C34" t="s">
        <v>129</v>
      </c>
      <c r="D34" t="s">
        <v>226</v>
      </c>
      <c r="E34" t="s">
        <v>130</v>
      </c>
      <c r="F34" t="n">
        <v>23.6686343166946</v>
      </c>
      <c r="G34" t="n">
        <v>28.4283279863389</v>
      </c>
      <c r="H34" t="n">
        <v>32.9574345573353</v>
      </c>
      <c r="I34" t="n">
        <v>37.9382454964466</v>
      </c>
      <c r="J34" t="n">
        <v>43.3785114913019</v>
      </c>
      <c r="K34" t="n">
        <v>46.8885468491662</v>
      </c>
      <c r="L34" t="n">
        <v>47.7936559542392</v>
      </c>
      <c r="M34" t="n">
        <v>48.41862716816</v>
      </c>
      <c r="N34" t="n">
        <v>53.5180852998366</v>
      </c>
      <c r="O34" t="n">
        <v>55.5542487753377</v>
      </c>
      <c r="P34" t="n">
        <v>58.3709807800898</v>
      </c>
      <c r="Q34" t="n">
        <v>61.7604612491946</v>
      </c>
      <c r="R34" t="n">
        <v>67.896294605174</v>
      </c>
      <c r="S34" t="n">
        <v>70.2022356534125</v>
      </c>
      <c r="T34" t="n">
        <v>73.1878809140032</v>
      </c>
      <c r="U34" t="n">
        <v>73.9408863544064</v>
      </c>
      <c r="V34" t="n">
        <v>77.0373126382281</v>
      </c>
      <c r="W34" t="n">
        <v>81.3433600377498</v>
      </c>
      <c r="X34" t="n">
        <v>82.2871783020753</v>
      </c>
      <c r="Y34" t="n">
        <v>82.7220157037267</v>
      </c>
      <c r="Z34" t="n">
        <v>84.6498642634669</v>
      </c>
      <c r="AA34" t="n">
        <v>87.135097790817</v>
      </c>
      <c r="AB34" t="n">
        <v>89.6109240865821</v>
      </c>
      <c r="AC34" t="n">
        <v>91.8968356715767</v>
      </c>
      <c r="AD34" t="n">
        <v>96.6843203405219</v>
      </c>
      <c r="AE34" t="n">
        <v>100</v>
      </c>
      <c r="AF34" t="n">
        <v>107.38040862842</v>
      </c>
    </row>
    <row r="35">
      <c r="A35" t="s">
        <v>31</v>
      </c>
      <c r="B35" t="s">
        <v>227</v>
      </c>
      <c r="C35" t="s">
        <v>129</v>
      </c>
      <c r="D35" t="s">
        <v>228</v>
      </c>
      <c r="E35" t="s">
        <v>130</v>
      </c>
      <c r="F35" t="n">
        <v>47.2029906546544</v>
      </c>
      <c r="G35" t="n">
        <v>55.211459394684</v>
      </c>
      <c r="H35" t="n">
        <v>62.9680068940996</v>
      </c>
      <c r="I35" t="n">
        <v>69.6212715492472</v>
      </c>
      <c r="J35" t="n">
        <v>76.1637806392672</v>
      </c>
      <c r="K35" t="n">
        <v>82.2133675965303</v>
      </c>
      <c r="L35" t="n">
        <v>83.0335854638559</v>
      </c>
      <c r="M35" t="n">
        <v>82.0308241156314</v>
      </c>
      <c r="N35" t="n">
        <v>86.4350724205472</v>
      </c>
      <c r="O35" t="n">
        <v>86.3277259215006</v>
      </c>
      <c r="P35" t="n">
        <v>88.472607908264</v>
      </c>
      <c r="Q35" t="n">
        <v>92.3922722334491</v>
      </c>
      <c r="R35" t="n">
        <v>95.0077793047833</v>
      </c>
      <c r="S35" t="n">
        <v>94.7851534143696</v>
      </c>
      <c r="T35" t="n">
        <v>96.0796827782871</v>
      </c>
      <c r="U35" t="n">
        <v>96.903455040943</v>
      </c>
      <c r="V35" t="n">
        <v>99.9307711110331</v>
      </c>
      <c r="W35" t="n">
        <v>101.065040398877</v>
      </c>
      <c r="X35" t="n">
        <v>99.4358924275828</v>
      </c>
      <c r="Y35" t="n">
        <v>96.9041287406382</v>
      </c>
      <c r="Z35" t="n">
        <v>98.0178465908963</v>
      </c>
      <c r="AA35" t="n">
        <v>99.1264196370773</v>
      </c>
      <c r="AB35" t="n">
        <v>99.3491925260469</v>
      </c>
      <c r="AC35" t="n">
        <v>98.3321950587346</v>
      </c>
      <c r="AD35" t="n">
        <v>100.460718405141</v>
      </c>
      <c r="AE35" t="n">
        <v>100</v>
      </c>
      <c r="AF35" t="n">
        <v>102.463510991071</v>
      </c>
    </row>
    <row r="36">
      <c r="A36" t="s">
        <v>31</v>
      </c>
      <c r="B36" t="s">
        <v>229</v>
      </c>
      <c r="C36" t="s">
        <v>129</v>
      </c>
      <c r="D36" t="s">
        <v>230</v>
      </c>
      <c r="E36" t="s">
        <v>130</v>
      </c>
      <c r="F36" t="n">
        <v>52.3318823108475</v>
      </c>
      <c r="G36" t="n">
        <v>61.2191769565107</v>
      </c>
      <c r="H36" t="n">
        <v>69.1241944032976</v>
      </c>
      <c r="I36" t="n">
        <v>78.9321525642839</v>
      </c>
      <c r="J36" t="n">
        <v>85.4575405863516</v>
      </c>
      <c r="K36" t="n">
        <v>92.9459778965183</v>
      </c>
      <c r="L36" t="n">
        <v>94.8775735253622</v>
      </c>
      <c r="M36" t="n">
        <v>93.9973274494872</v>
      </c>
      <c r="N36" t="n">
        <v>93.6424913015515</v>
      </c>
      <c r="O36" t="n">
        <v>92.8549505780738</v>
      </c>
      <c r="P36" t="n">
        <v>93.7780091516509</v>
      </c>
      <c r="Q36" t="n">
        <v>93.7577358276913</v>
      </c>
      <c r="R36" t="n">
        <v>94.4968512927467</v>
      </c>
      <c r="S36" t="n">
        <v>88.8433620401053</v>
      </c>
      <c r="T36" t="n">
        <v>90.7128371755097</v>
      </c>
      <c r="U36" t="n">
        <v>91.3325296555984</v>
      </c>
      <c r="V36" t="n">
        <v>94.2601510069108</v>
      </c>
      <c r="W36" t="n">
        <v>95.6157457918514</v>
      </c>
      <c r="X36" t="n">
        <v>96.2100898956112</v>
      </c>
      <c r="Y36" t="n">
        <v>94.205484377191</v>
      </c>
      <c r="Z36" t="n">
        <v>94.3827951896203</v>
      </c>
      <c r="AA36" t="n">
        <v>95.7864329694377</v>
      </c>
      <c r="AB36" t="n">
        <v>95.7112805677552</v>
      </c>
      <c r="AC36" t="n">
        <v>96.3986574559641</v>
      </c>
      <c r="AD36" t="n">
        <v>99.3304434137943</v>
      </c>
      <c r="AE36" t="n">
        <v>100</v>
      </c>
      <c r="AF36" t="n">
        <v>101.933841817277</v>
      </c>
    </row>
    <row r="37">
      <c r="A37" t="s">
        <v>31</v>
      </c>
      <c r="B37" t="s">
        <v>231</v>
      </c>
      <c r="C37" t="s">
        <v>129</v>
      </c>
      <c r="D37" t="s">
        <v>232</v>
      </c>
      <c r="E37" t="s">
        <v>130</v>
      </c>
      <c r="F37" t="n">
        <v>50.7483496397482</v>
      </c>
      <c r="G37" t="n">
        <v>60.1598172416911</v>
      </c>
      <c r="H37" t="n">
        <v>69.0661348127698</v>
      </c>
      <c r="I37" t="n">
        <v>74.1693465979127</v>
      </c>
      <c r="J37" t="n">
        <v>81.9725751983312</v>
      </c>
      <c r="K37" t="n">
        <v>89.0043144293342</v>
      </c>
      <c r="L37" t="n">
        <v>89.0642278440076</v>
      </c>
      <c r="M37" t="n">
        <v>87.9566591436134</v>
      </c>
      <c r="N37" t="n">
        <v>93.2820614237173</v>
      </c>
      <c r="O37" t="n">
        <v>92.7437624801032</v>
      </c>
      <c r="P37" t="n">
        <v>95.9575988718397</v>
      </c>
      <c r="Q37" t="n">
        <v>104.301039985936</v>
      </c>
      <c r="R37" t="n">
        <v>108.413567910415</v>
      </c>
      <c r="S37" t="n">
        <v>112.430105084893</v>
      </c>
      <c r="T37" t="n">
        <v>111.794514651092</v>
      </c>
      <c r="U37" t="n">
        <v>113.050200432477</v>
      </c>
      <c r="V37" t="n">
        <v>116.322554516095</v>
      </c>
      <c r="W37" t="n">
        <v>116.905951463807</v>
      </c>
      <c r="X37" t="n">
        <v>113.360913050055</v>
      </c>
      <c r="Y37" t="n">
        <v>109.620357750646</v>
      </c>
      <c r="Z37" t="n">
        <v>110.815191341571</v>
      </c>
      <c r="AA37" t="n">
        <v>111.004943381539</v>
      </c>
      <c r="AB37" t="n">
        <v>110.718819416818</v>
      </c>
      <c r="AC37" t="n">
        <v>104.380380044668</v>
      </c>
      <c r="AD37" t="n">
        <v>104.009692476323</v>
      </c>
      <c r="AE37" t="n">
        <v>100</v>
      </c>
      <c r="AF37" t="n">
        <v>103.070384726587</v>
      </c>
    </row>
    <row r="38">
      <c r="A38" t="s">
        <v>31</v>
      </c>
      <c r="B38" t="s">
        <v>233</v>
      </c>
      <c r="C38" t="s">
        <v>129</v>
      </c>
      <c r="D38" t="s">
        <v>234</v>
      </c>
      <c r="E38" t="s">
        <v>130</v>
      </c>
      <c r="F38" t="n">
        <v>40.2921602841031</v>
      </c>
      <c r="G38" t="n">
        <v>45.5347665773987</v>
      </c>
      <c r="H38" t="n">
        <v>52.5505317089784</v>
      </c>
      <c r="I38" t="n">
        <v>57.1642002398345</v>
      </c>
      <c r="J38" t="n">
        <v>62.6970042913644</v>
      </c>
      <c r="K38" t="n">
        <v>65.75119260933</v>
      </c>
      <c r="L38" t="n">
        <v>65.9943115736617</v>
      </c>
      <c r="M38" t="n">
        <v>64.8358490035944</v>
      </c>
      <c r="N38" t="n">
        <v>75.3543181491037</v>
      </c>
      <c r="O38" t="n">
        <v>76.807649529245</v>
      </c>
      <c r="P38" t="n">
        <v>79.5596485348572</v>
      </c>
      <c r="Q38" t="n">
        <v>83.2730957406153</v>
      </c>
      <c r="R38" t="n">
        <v>86.7356797932286</v>
      </c>
      <c r="S38" t="n">
        <v>88.5695039374116</v>
      </c>
      <c r="T38" t="n">
        <v>91.0509190303533</v>
      </c>
      <c r="U38" t="n">
        <v>91.7523944983704</v>
      </c>
      <c r="V38" t="n">
        <v>94.7573819415255</v>
      </c>
      <c r="W38" t="n">
        <v>96.0344993882433</v>
      </c>
      <c r="X38" t="n">
        <v>93.221304802281</v>
      </c>
      <c r="Y38" t="n">
        <v>91.034565655069</v>
      </c>
      <c r="Z38" t="n">
        <v>93.0981891939251</v>
      </c>
      <c r="AA38" t="n">
        <v>94.6579847754743</v>
      </c>
      <c r="AB38" t="n">
        <v>95.617729850597</v>
      </c>
      <c r="AC38" t="n">
        <v>96.4665315640265</v>
      </c>
      <c r="AD38" t="n">
        <v>99.3771920140629</v>
      </c>
      <c r="AE38" t="n">
        <v>100</v>
      </c>
      <c r="AF38" t="n">
        <v>102.548151709313</v>
      </c>
    </row>
    <row r="39">
      <c r="A39" t="s">
        <v>31</v>
      </c>
      <c r="B39" t="s">
        <v>235</v>
      </c>
      <c r="C39" t="s">
        <v>129</v>
      </c>
      <c r="D39" t="s">
        <v>236</v>
      </c>
      <c r="E39" t="s">
        <v>130</v>
      </c>
      <c r="F39" t="n">
        <v>30.1509075406109</v>
      </c>
      <c r="G39" t="n">
        <v>37.7284007041546</v>
      </c>
      <c r="H39" t="n">
        <v>45.0250986953373</v>
      </c>
      <c r="I39" t="n">
        <v>51.9332076956618</v>
      </c>
      <c r="J39" t="n">
        <v>58.4090121663088</v>
      </c>
      <c r="K39" t="n">
        <v>60.6540287603339</v>
      </c>
      <c r="L39" t="n">
        <v>62.5634684640081</v>
      </c>
      <c r="M39" t="n">
        <v>65.2791510247596</v>
      </c>
      <c r="N39" t="n">
        <v>68.4492275722599</v>
      </c>
      <c r="O39" t="n">
        <v>69.1847824209847</v>
      </c>
      <c r="P39" t="n">
        <v>72.947839210111</v>
      </c>
      <c r="Q39" t="n">
        <v>75.3628374985737</v>
      </c>
      <c r="R39" t="n">
        <v>77.5154514152306</v>
      </c>
      <c r="S39" t="n">
        <v>79.7106835379759</v>
      </c>
      <c r="T39" t="n">
        <v>81.513738568886</v>
      </c>
      <c r="U39" t="n">
        <v>83.363705547084</v>
      </c>
      <c r="V39" t="n">
        <v>87.0390772051577</v>
      </c>
      <c r="W39" t="n">
        <v>89.1417191674296</v>
      </c>
      <c r="X39" t="n">
        <v>97.0577782772546</v>
      </c>
      <c r="Y39" t="n">
        <v>103.188930011696</v>
      </c>
      <c r="Z39" t="n">
        <v>102.489568739267</v>
      </c>
      <c r="AA39" t="n">
        <v>99.3465228515006</v>
      </c>
      <c r="AB39" t="n">
        <v>97.3255449535231</v>
      </c>
      <c r="AC39" t="n">
        <v>99.4763108258527</v>
      </c>
      <c r="AD39" t="n">
        <v>97.9111709730319</v>
      </c>
      <c r="AE39" t="n">
        <v>100</v>
      </c>
      <c r="AF39" t="n">
        <v>103.63352012878</v>
      </c>
    </row>
    <row r="40">
      <c r="A40" t="s">
        <v>31</v>
      </c>
      <c r="B40" t="s">
        <v>237</v>
      </c>
      <c r="C40" t="s">
        <v>129</v>
      </c>
      <c r="D40" t="s">
        <v>238</v>
      </c>
      <c r="E40" t="s">
        <v>130</v>
      </c>
      <c r="F40" t="n">
        <v>30.7255536450192</v>
      </c>
      <c r="G40" t="n">
        <v>38.7594711490109</v>
      </c>
      <c r="H40" t="n">
        <v>44.5189709918207</v>
      </c>
      <c r="I40" t="n">
        <v>47.4990004461192</v>
      </c>
      <c r="J40" t="n">
        <v>53.9917163373022</v>
      </c>
      <c r="K40" t="n">
        <v>57.8473927111396</v>
      </c>
      <c r="L40" t="n">
        <v>58.8334964346488</v>
      </c>
      <c r="M40" t="n">
        <v>58.2126960178325</v>
      </c>
      <c r="N40" t="n">
        <v>59.0758032919376</v>
      </c>
      <c r="O40" t="n">
        <v>59.9666402564284</v>
      </c>
      <c r="P40" t="n">
        <v>62.7552670014607</v>
      </c>
      <c r="Q40" t="n">
        <v>69.4586543081187</v>
      </c>
      <c r="R40" t="n">
        <v>70.9646112658799</v>
      </c>
      <c r="S40" t="n">
        <v>71.719453456301</v>
      </c>
      <c r="T40" t="n">
        <v>80.6180601319227</v>
      </c>
      <c r="U40" t="n">
        <v>85.3513134209255</v>
      </c>
      <c r="V40" t="n">
        <v>84.9181258936268</v>
      </c>
      <c r="W40" t="n">
        <v>85.6610986928861</v>
      </c>
      <c r="X40" t="n">
        <v>87.2843115071465</v>
      </c>
      <c r="Y40" t="n">
        <v>88.7726240109925</v>
      </c>
      <c r="Z40" t="n">
        <v>90.218157054498</v>
      </c>
      <c r="AA40" t="n">
        <v>90.3550989764631</v>
      </c>
      <c r="AB40" t="n">
        <v>91.9678319191513</v>
      </c>
      <c r="AC40" t="n">
        <v>94.8047095813528</v>
      </c>
      <c r="AD40" t="n">
        <v>99.5015518587065</v>
      </c>
      <c r="AE40" t="n">
        <v>100</v>
      </c>
      <c r="AF40" t="n">
        <v>106.7744141495</v>
      </c>
    </row>
    <row r="41">
      <c r="A41" t="s">
        <v>31</v>
      </c>
      <c r="B41" t="s">
        <v>239</v>
      </c>
      <c r="C41" t="s">
        <v>129</v>
      </c>
      <c r="D41" t="s">
        <v>240</v>
      </c>
      <c r="E41" t="s">
        <v>130</v>
      </c>
      <c r="F41" t="n">
        <v>17.1709764147041</v>
      </c>
      <c r="G41" t="n">
        <v>25.1222714867704</v>
      </c>
      <c r="H41" t="n">
        <v>30.5421455039071</v>
      </c>
      <c r="I41" t="n">
        <v>33.6957492821005</v>
      </c>
      <c r="J41" t="n">
        <v>37.7462818898505</v>
      </c>
      <c r="K41" t="n">
        <v>41.6426485500968</v>
      </c>
      <c r="L41" t="n">
        <v>46.3551827071018</v>
      </c>
      <c r="M41" t="n">
        <v>49.089713935685</v>
      </c>
      <c r="N41" t="n">
        <v>44.6184005009691</v>
      </c>
      <c r="O41" t="n">
        <v>43.4708898767561</v>
      </c>
      <c r="P41" t="n">
        <v>48.0212879050728</v>
      </c>
      <c r="Q41" t="n">
        <v>55.6584519790656</v>
      </c>
      <c r="R41" t="n">
        <v>53.0481785638921</v>
      </c>
      <c r="S41" t="n">
        <v>53.8758285747275</v>
      </c>
      <c r="T41" t="n">
        <v>71.8789869617211</v>
      </c>
      <c r="U41" t="n">
        <v>82.5360515851636</v>
      </c>
      <c r="V41" t="n">
        <v>78.8688686002263</v>
      </c>
      <c r="W41" t="n">
        <v>80.4919209953386</v>
      </c>
      <c r="X41" t="n">
        <v>86.3827060573264</v>
      </c>
      <c r="Y41" t="n">
        <v>91.4739637844186</v>
      </c>
      <c r="Z41" t="n">
        <v>92.8337939947726</v>
      </c>
      <c r="AA41" t="n">
        <v>89.8687611823517</v>
      </c>
      <c r="AB41" t="n">
        <v>92.3117685517367</v>
      </c>
      <c r="AC41" t="n">
        <v>96.1187328952138</v>
      </c>
      <c r="AD41" t="n">
        <v>100.314165770167</v>
      </c>
      <c r="AE41" t="n">
        <v>100</v>
      </c>
      <c r="AF41" t="n">
        <v>105.266396077063</v>
      </c>
    </row>
    <row r="42">
      <c r="A42" t="s">
        <v>31</v>
      </c>
      <c r="B42" t="s">
        <v>241</v>
      </c>
      <c r="C42" t="s">
        <v>129</v>
      </c>
      <c r="D42" t="s">
        <v>242</v>
      </c>
      <c r="E42" t="s">
        <v>130</v>
      </c>
      <c r="F42" t="n">
        <v>32.9457981557323</v>
      </c>
      <c r="G42" t="n">
        <v>39.3568703699499</v>
      </c>
      <c r="H42" t="n">
        <v>46.1433771542119</v>
      </c>
      <c r="I42" t="n">
        <v>50.0033537065382</v>
      </c>
      <c r="J42" t="n">
        <v>55.2181475784627</v>
      </c>
      <c r="K42" t="n">
        <v>59.1339559417703</v>
      </c>
      <c r="L42" t="n">
        <v>60.0367390412744</v>
      </c>
      <c r="M42" t="n">
        <v>59.425408411825</v>
      </c>
      <c r="N42" t="n">
        <v>65.4551808372566</v>
      </c>
      <c r="O42" t="n">
        <v>67.998269383811</v>
      </c>
      <c r="P42" t="n">
        <v>72.2058430608457</v>
      </c>
      <c r="Q42" t="n">
        <v>78.6553887438412</v>
      </c>
      <c r="R42" t="n">
        <v>85.8613276284356</v>
      </c>
      <c r="S42" t="n">
        <v>88.0441311118439</v>
      </c>
      <c r="T42" t="n">
        <v>89.5498355907586</v>
      </c>
      <c r="U42" t="n">
        <v>91.4112944697057</v>
      </c>
      <c r="V42" t="n">
        <v>94.0528343688707</v>
      </c>
      <c r="W42" t="n">
        <v>95.4533730265741</v>
      </c>
      <c r="X42" t="n">
        <v>93.523359397209</v>
      </c>
      <c r="Y42" t="n">
        <v>91.7923586139205</v>
      </c>
      <c r="Z42" t="n">
        <v>92.2792255205257</v>
      </c>
      <c r="AA42" t="n">
        <v>93.2220616507902</v>
      </c>
      <c r="AB42" t="n">
        <v>94.5733930349411</v>
      </c>
      <c r="AC42" t="n">
        <v>96.2784903568594</v>
      </c>
      <c r="AD42" t="n">
        <v>99.1377246783091</v>
      </c>
      <c r="AE42" t="n">
        <v>100</v>
      </c>
      <c r="AF42" t="n">
        <v>104.392837336291</v>
      </c>
    </row>
    <row r="43">
      <c r="A43" t="s">
        <v>31</v>
      </c>
      <c r="B43" t="s">
        <v>243</v>
      </c>
      <c r="C43" t="s">
        <v>129</v>
      </c>
      <c r="D43" t="s">
        <v>244</v>
      </c>
      <c r="E43" t="s">
        <v>130</v>
      </c>
      <c r="F43" t="n">
        <v>31.6274715743085</v>
      </c>
      <c r="G43" t="n">
        <v>37.723012428834</v>
      </c>
      <c r="H43" t="n">
        <v>44.0317115032896</v>
      </c>
      <c r="I43" t="n">
        <v>47.7022675152727</v>
      </c>
      <c r="J43" t="n">
        <v>52.4597437756276</v>
      </c>
      <c r="K43" t="n">
        <v>56.2436967663506</v>
      </c>
      <c r="L43" t="n">
        <v>57.191502411808</v>
      </c>
      <c r="M43" t="n">
        <v>56.6065033053683</v>
      </c>
      <c r="N43" t="n">
        <v>61.294193308892</v>
      </c>
      <c r="O43" t="n">
        <v>63.8098299499381</v>
      </c>
      <c r="P43" t="n">
        <v>67.9303008323007</v>
      </c>
      <c r="Q43" t="n">
        <v>74.950253499886</v>
      </c>
      <c r="R43" t="n">
        <v>81.5446870266693</v>
      </c>
      <c r="S43" t="n">
        <v>84.9253651799098</v>
      </c>
      <c r="T43" t="n">
        <v>86.3609969839237</v>
      </c>
      <c r="U43" t="n">
        <v>88.3450604571138</v>
      </c>
      <c r="V43" t="n">
        <v>91.2750996521675</v>
      </c>
      <c r="W43" t="n">
        <v>93.4056877863353</v>
      </c>
      <c r="X43" t="n">
        <v>92.0548784493097</v>
      </c>
      <c r="Y43" t="n">
        <v>90.9759330844439</v>
      </c>
      <c r="Z43" t="n">
        <v>91.4854161568938</v>
      </c>
      <c r="AA43" t="n">
        <v>92.7037416849507</v>
      </c>
      <c r="AB43" t="n">
        <v>94.0214465968904</v>
      </c>
      <c r="AC43" t="n">
        <v>96.0137218604969</v>
      </c>
      <c r="AD43" t="n">
        <v>99.1223982875381</v>
      </c>
      <c r="AE43" t="n">
        <v>100</v>
      </c>
      <c r="AF43" t="n">
        <v>104.323730763739</v>
      </c>
    </row>
    <row r="44">
      <c r="A44" t="s">
        <v>31</v>
      </c>
      <c r="B44" t="s">
        <v>245</v>
      </c>
      <c r="C44" t="s">
        <v>129</v>
      </c>
      <c r="D44" t="s">
        <v>246</v>
      </c>
      <c r="E44" t="s">
        <v>130</v>
      </c>
      <c r="F44" t="n">
        <v>36.5343987174618</v>
      </c>
      <c r="G44" t="n">
        <v>43.7886367682085</v>
      </c>
      <c r="H44" t="n">
        <v>50.4656490033134</v>
      </c>
      <c r="I44" t="n">
        <v>55.21259990697</v>
      </c>
      <c r="J44" t="n">
        <v>60.1468717765679</v>
      </c>
      <c r="K44" t="n">
        <v>65.5130848951157</v>
      </c>
      <c r="L44" t="n">
        <v>65.9424578110686</v>
      </c>
      <c r="M44" t="n">
        <v>63.7082166409062</v>
      </c>
      <c r="N44" t="n">
        <v>65.5946063381446</v>
      </c>
      <c r="O44" t="n">
        <v>66.6729071760567</v>
      </c>
      <c r="P44" t="n">
        <v>69.8646750779026</v>
      </c>
      <c r="Q44" t="n">
        <v>74.954524313155</v>
      </c>
      <c r="R44" t="n">
        <v>77.7031290832645</v>
      </c>
      <c r="S44" t="n">
        <v>80.4076882111598</v>
      </c>
      <c r="T44" t="n">
        <v>81.6750564225355</v>
      </c>
      <c r="U44" t="n">
        <v>84.4786460915714</v>
      </c>
      <c r="V44" t="n">
        <v>88.7389149047061</v>
      </c>
      <c r="W44" t="n">
        <v>92.1702597811516</v>
      </c>
      <c r="X44" t="n">
        <v>91.3299569518489</v>
      </c>
      <c r="Y44" t="n">
        <v>90.6701259363595</v>
      </c>
      <c r="Z44" t="n">
        <v>90.2364441183265</v>
      </c>
      <c r="AA44" t="n">
        <v>90.4435137628067</v>
      </c>
      <c r="AB44" t="n">
        <v>92.1675379383683</v>
      </c>
      <c r="AC44" t="n">
        <v>95.3985474032079</v>
      </c>
      <c r="AD44" t="n">
        <v>98.4007460744654</v>
      </c>
      <c r="AE44" t="n">
        <v>100</v>
      </c>
      <c r="AF44" t="n">
        <v>109.969145169294</v>
      </c>
    </row>
    <row r="45">
      <c r="A45" t="s">
        <v>31</v>
      </c>
      <c r="B45" t="s">
        <v>247</v>
      </c>
      <c r="C45" t="s">
        <v>129</v>
      </c>
      <c r="D45" t="s">
        <v>248</v>
      </c>
      <c r="E45" t="s">
        <v>130</v>
      </c>
      <c r="F45" t="n">
        <v>37.4907870124658</v>
      </c>
      <c r="G45" t="n">
        <v>44.6529288984427</v>
      </c>
      <c r="H45" t="n">
        <v>51.5438554684926</v>
      </c>
      <c r="I45" t="n">
        <v>56.5987665534097</v>
      </c>
      <c r="J45" t="n">
        <v>61.7217941452353</v>
      </c>
      <c r="K45" t="n">
        <v>66.9813147447614</v>
      </c>
      <c r="L45" t="n">
        <v>67.0238491637269</v>
      </c>
      <c r="M45" t="n">
        <v>64.5342449590634</v>
      </c>
      <c r="N45" t="n">
        <v>66.3682855447629</v>
      </c>
      <c r="O45" t="n">
        <v>67.1623636845725</v>
      </c>
      <c r="P45" t="n">
        <v>70.4302393814964</v>
      </c>
      <c r="Q45" t="n">
        <v>75.5464139475744</v>
      </c>
      <c r="R45" t="n">
        <v>78.1691159839857</v>
      </c>
      <c r="S45" t="n">
        <v>80.4291906293749</v>
      </c>
      <c r="T45" t="n">
        <v>82.0735955153237</v>
      </c>
      <c r="U45" t="n">
        <v>84.8391286087545</v>
      </c>
      <c r="V45" t="n">
        <v>88.8461583195893</v>
      </c>
      <c r="W45" t="n">
        <v>92.16348033646</v>
      </c>
      <c r="X45" t="n">
        <v>91.2908543071716</v>
      </c>
      <c r="Y45" t="n">
        <v>90.744355557681</v>
      </c>
      <c r="Z45" t="n">
        <v>90.2287683358883</v>
      </c>
      <c r="AA45" t="n">
        <v>90.5011827303481</v>
      </c>
      <c r="AB45" t="n">
        <v>92.2411022023976</v>
      </c>
      <c r="AC45" t="n">
        <v>95.3945849675056</v>
      </c>
      <c r="AD45" t="n">
        <v>98.4039510591304</v>
      </c>
      <c r="AE45" t="n">
        <v>100</v>
      </c>
      <c r="AF45" t="n">
        <v>109.700251505899</v>
      </c>
    </row>
    <row r="46">
      <c r="A46" t="s">
        <v>31</v>
      </c>
      <c r="B46" t="s">
        <v>249</v>
      </c>
      <c r="C46" t="s">
        <v>129</v>
      </c>
      <c r="D46" t="s">
        <v>250</v>
      </c>
      <c r="E46" t="s">
        <v>130</v>
      </c>
      <c r="F46" t="n">
        <v>29.7835865465936</v>
      </c>
      <c r="G46" t="n">
        <v>35.425997077798</v>
      </c>
      <c r="H46" t="n">
        <v>40.991567303828</v>
      </c>
      <c r="I46" t="n">
        <v>44.3872545610828</v>
      </c>
      <c r="J46" t="n">
        <v>48.4484086168649</v>
      </c>
      <c r="K46" t="n">
        <v>52.0450411460599</v>
      </c>
      <c r="L46" t="n">
        <v>53.0585353080265</v>
      </c>
      <c r="M46" t="n">
        <v>52.511541809041</v>
      </c>
      <c r="N46" t="n">
        <v>55.2905639182928</v>
      </c>
      <c r="O46" t="n">
        <v>57.7698812724431</v>
      </c>
      <c r="P46" t="n">
        <v>61.7794731460188</v>
      </c>
      <c r="Q46" t="n">
        <v>69.7609702581894</v>
      </c>
      <c r="R46" t="n">
        <v>75.4422269818702</v>
      </c>
      <c r="S46" t="n">
        <v>80.6254254168606</v>
      </c>
      <c r="T46" t="n">
        <v>81.9635250380864</v>
      </c>
      <c r="U46" t="n">
        <v>84.1304840141603</v>
      </c>
      <c r="V46" t="n">
        <v>87.4723061032553</v>
      </c>
      <c r="W46" t="n">
        <v>90.5835847480346</v>
      </c>
      <c r="X46" t="n">
        <v>90.0356573149214</v>
      </c>
      <c r="Y46" t="n">
        <v>89.8465115517171</v>
      </c>
      <c r="Z46" t="n">
        <v>90.3860655447305</v>
      </c>
      <c r="AA46" t="n">
        <v>91.9716512547839</v>
      </c>
      <c r="AB46" t="n">
        <v>93.2424920162387</v>
      </c>
      <c r="AC46" t="n">
        <v>95.6166867085065</v>
      </c>
      <c r="AD46" t="n">
        <v>99.0928309012171</v>
      </c>
      <c r="AE46" t="n">
        <v>100</v>
      </c>
      <c r="AF46" t="n">
        <v>104.198877036672</v>
      </c>
    </row>
    <row r="47">
      <c r="A47" t="s">
        <v>31</v>
      </c>
      <c r="B47" t="s">
        <v>251</v>
      </c>
      <c r="C47" t="s">
        <v>129</v>
      </c>
      <c r="D47" t="s">
        <v>252</v>
      </c>
      <c r="E47" t="s">
        <v>130</v>
      </c>
      <c r="F47" t="n">
        <v>29.5770674808559</v>
      </c>
      <c r="G47" t="n">
        <v>35.9991644899526</v>
      </c>
      <c r="H47" t="n">
        <v>41.6732546956968</v>
      </c>
      <c r="I47" t="n">
        <v>47.008756059138</v>
      </c>
      <c r="J47" t="n">
        <v>50.9467249390898</v>
      </c>
      <c r="K47" t="n">
        <v>55.4244793220996</v>
      </c>
      <c r="L47" t="n">
        <v>58.8258883044121</v>
      </c>
      <c r="M47" t="n">
        <v>59.7816217838319</v>
      </c>
      <c r="N47" t="n">
        <v>63.1567949187927</v>
      </c>
      <c r="O47" t="n">
        <v>65.0549686595469</v>
      </c>
      <c r="P47" t="n">
        <v>68.3634012571006</v>
      </c>
      <c r="Q47" t="n">
        <v>72.6876200328832</v>
      </c>
      <c r="R47" t="n">
        <v>75.0585237315939</v>
      </c>
      <c r="S47" t="n">
        <v>79.4069448008344</v>
      </c>
      <c r="T47" t="n">
        <v>80.6566102032672</v>
      </c>
      <c r="U47" t="n">
        <v>83.1932461709014</v>
      </c>
      <c r="V47" t="n">
        <v>86.4165766685887</v>
      </c>
      <c r="W47" t="n">
        <v>87.6798756913327</v>
      </c>
      <c r="X47" t="n">
        <v>88.841654524659</v>
      </c>
      <c r="Y47" t="n">
        <v>89.778459871858</v>
      </c>
      <c r="Z47" t="n">
        <v>89.0290539652305</v>
      </c>
      <c r="AA47" t="n">
        <v>88.9311862619942</v>
      </c>
      <c r="AB47" t="n">
        <v>91.6654940044711</v>
      </c>
      <c r="AC47" t="n">
        <v>94.848540288016</v>
      </c>
      <c r="AD47" t="n">
        <v>98.2325308519298</v>
      </c>
      <c r="AE47" t="n">
        <v>100</v>
      </c>
      <c r="AF47" t="n">
        <v>109.100139514245</v>
      </c>
    </row>
    <row r="48">
      <c r="A48" t="s">
        <v>31</v>
      </c>
      <c r="B48" t="s">
        <v>253</v>
      </c>
      <c r="C48" t="s">
        <v>129</v>
      </c>
      <c r="D48" t="s">
        <v>254</v>
      </c>
      <c r="E48" t="s">
        <v>130</v>
      </c>
      <c r="F48" t="n">
        <v>28.7354440011778</v>
      </c>
      <c r="G48" t="n">
        <v>34.9752629539416</v>
      </c>
      <c r="H48" t="n">
        <v>40.6707612831181</v>
      </c>
      <c r="I48" t="n">
        <v>45.9660469376414</v>
      </c>
      <c r="J48" t="n">
        <v>50.4694091687843</v>
      </c>
      <c r="K48" t="n">
        <v>55.4413218935855</v>
      </c>
      <c r="L48" t="n">
        <v>59.14980590956</v>
      </c>
      <c r="M48" t="n">
        <v>60.4477174745508</v>
      </c>
      <c r="N48" t="n">
        <v>64.0779980041641</v>
      </c>
      <c r="O48" t="n">
        <v>66.0038458748235</v>
      </c>
      <c r="P48" t="n">
        <v>69.9734201968199</v>
      </c>
      <c r="Q48" t="n">
        <v>73.9645797412935</v>
      </c>
      <c r="R48" t="n">
        <v>76.1116697310828</v>
      </c>
      <c r="S48" t="n">
        <v>80.577159018684</v>
      </c>
      <c r="T48" t="n">
        <v>82.1188769530086</v>
      </c>
      <c r="U48" t="n">
        <v>84.6308455001894</v>
      </c>
      <c r="V48" t="n">
        <v>87.5310838454553</v>
      </c>
      <c r="W48" t="n">
        <v>89.724578858281</v>
      </c>
      <c r="X48" t="n">
        <v>90.5320731727959</v>
      </c>
      <c r="Y48" t="n">
        <v>90.7222218834017</v>
      </c>
      <c r="Z48" t="n">
        <v>90.0807299911411</v>
      </c>
      <c r="AA48" t="n">
        <v>89.6957408906563</v>
      </c>
      <c r="AB48" t="n">
        <v>92.4310530337481</v>
      </c>
      <c r="AC48" t="n">
        <v>95.4438467623766</v>
      </c>
      <c r="AD48" t="n">
        <v>98.3317304276147</v>
      </c>
      <c r="AE48" t="n">
        <v>100</v>
      </c>
      <c r="AF48" t="n">
        <v>108.175963428683</v>
      </c>
    </row>
    <row r="49">
      <c r="A49" t="s">
        <v>31</v>
      </c>
      <c r="B49" t="s">
        <v>255</v>
      </c>
      <c r="C49" t="s">
        <v>129</v>
      </c>
      <c r="D49" t="s">
        <v>256</v>
      </c>
      <c r="E49" t="s">
        <v>130</v>
      </c>
      <c r="F49" t="n">
        <v>25.6455807389867</v>
      </c>
      <c r="G49" t="n">
        <v>31.3450909304281</v>
      </c>
      <c r="H49" t="n">
        <v>36.8861635357328</v>
      </c>
      <c r="I49" t="n">
        <v>41.6478956014681</v>
      </c>
      <c r="J49" t="n">
        <v>46.6043888968597</v>
      </c>
      <c r="K49" t="n">
        <v>51.9892223417474</v>
      </c>
      <c r="L49" t="n">
        <v>55.1495907239102</v>
      </c>
      <c r="M49" t="n">
        <v>56.9058413561782</v>
      </c>
      <c r="N49" t="n">
        <v>61.761099631192</v>
      </c>
      <c r="O49" t="n">
        <v>65.307093578035</v>
      </c>
      <c r="P49" t="n">
        <v>69.5210790882956</v>
      </c>
      <c r="Q49" t="n">
        <v>73.4723585426298</v>
      </c>
      <c r="R49" t="n">
        <v>76.1031967431245</v>
      </c>
      <c r="S49" t="n">
        <v>80.0521562620452</v>
      </c>
      <c r="T49" t="n">
        <v>81.9460248914997</v>
      </c>
      <c r="U49" t="n">
        <v>85.0059171476975</v>
      </c>
      <c r="V49" t="n">
        <v>88.2387347009563</v>
      </c>
      <c r="W49" t="n">
        <v>91.418363023055</v>
      </c>
      <c r="X49" t="n">
        <v>92.2718915210029</v>
      </c>
      <c r="Y49" t="n">
        <v>91.1333948635556</v>
      </c>
      <c r="Z49" t="n">
        <v>90.5470596022267</v>
      </c>
      <c r="AA49" t="n">
        <v>89.857258635797</v>
      </c>
      <c r="AB49" t="n">
        <v>92.0616513385787</v>
      </c>
      <c r="AC49" t="n">
        <v>95.5751649877778</v>
      </c>
      <c r="AD49" t="n">
        <v>98.6382080578207</v>
      </c>
      <c r="AE49" t="n">
        <v>100</v>
      </c>
      <c r="AF49" t="n">
        <v>108.026262252635</v>
      </c>
    </row>
    <row r="50">
      <c r="A50" t="s">
        <v>31</v>
      </c>
      <c r="B50" t="s">
        <v>257</v>
      </c>
      <c r="C50" t="s">
        <v>129</v>
      </c>
      <c r="D50" t="s">
        <v>258</v>
      </c>
      <c r="E50" t="s">
        <v>130</v>
      </c>
      <c r="F50" t="n">
        <v>29.6313622654791</v>
      </c>
      <c r="G50" t="n">
        <v>35.9942246553088</v>
      </c>
      <c r="H50" t="n">
        <v>41.8376166960289</v>
      </c>
      <c r="I50" t="n">
        <v>47.418098768864</v>
      </c>
      <c r="J50" t="n">
        <v>52.3058855011298</v>
      </c>
      <c r="K50" t="n">
        <v>57.663242956569</v>
      </c>
      <c r="L50" t="n">
        <v>62.0684573837855</v>
      </c>
      <c r="M50" t="n">
        <v>63.4910461996884</v>
      </c>
      <c r="N50" t="n">
        <v>66.7440185135417</v>
      </c>
      <c r="O50" t="n">
        <v>67.817242013549</v>
      </c>
      <c r="P50" t="n">
        <v>72.4013461388692</v>
      </c>
      <c r="Q50" t="n">
        <v>76.0287524931542</v>
      </c>
      <c r="R50" t="n">
        <v>77.6480763732093</v>
      </c>
      <c r="S50" t="n">
        <v>82.5528803062842</v>
      </c>
      <c r="T50" t="n">
        <v>84.2654343980227</v>
      </c>
      <c r="U50" t="n">
        <v>86.4884471424254</v>
      </c>
      <c r="V50" t="n">
        <v>88.8959691467869</v>
      </c>
      <c r="W50" t="n">
        <v>91.6758344834814</v>
      </c>
      <c r="X50" t="n">
        <v>92.0281442013436</v>
      </c>
      <c r="Y50" t="n">
        <v>91.8261370038287</v>
      </c>
      <c r="Z50" t="n">
        <v>91.2875398399984</v>
      </c>
      <c r="AA50" t="n">
        <v>90.7019646751081</v>
      </c>
      <c r="AB50" t="n">
        <v>93.6859173401508</v>
      </c>
      <c r="AC50" t="n">
        <v>96.2447030701094</v>
      </c>
      <c r="AD50" t="n">
        <v>98.3236219064182</v>
      </c>
      <c r="AE50" t="n">
        <v>100</v>
      </c>
      <c r="AF50" t="n">
        <v>107.268097552926</v>
      </c>
    </row>
    <row r="51">
      <c r="A51" t="s">
        <v>31</v>
      </c>
      <c r="B51" t="s">
        <v>259</v>
      </c>
      <c r="C51" t="s">
        <v>129</v>
      </c>
      <c r="D51" t="s">
        <v>260</v>
      </c>
      <c r="E51" t="s">
        <v>130</v>
      </c>
      <c r="F51" t="n">
        <v>31.2540615853177</v>
      </c>
      <c r="G51" t="n">
        <v>37.8956061436483</v>
      </c>
      <c r="H51" t="n">
        <v>43.9358809715899</v>
      </c>
      <c r="I51" t="n">
        <v>49.7506854717009</v>
      </c>
      <c r="J51" t="n">
        <v>54.9232129456931</v>
      </c>
      <c r="K51" t="n">
        <v>60.3803147155268</v>
      </c>
      <c r="L51" t="n">
        <v>64.8299549675743</v>
      </c>
      <c r="M51" t="n">
        <v>66.1985074822979</v>
      </c>
      <c r="N51" t="n">
        <v>68.991650705348</v>
      </c>
      <c r="O51" t="n">
        <v>69.7149920095489</v>
      </c>
      <c r="P51" t="n">
        <v>74.3940110652725</v>
      </c>
      <c r="Q51" t="n">
        <v>77.9916277163644</v>
      </c>
      <c r="R51" t="n">
        <v>79.3268447706445</v>
      </c>
      <c r="S51" t="n">
        <v>84.0495381794943</v>
      </c>
      <c r="T51" t="n">
        <v>85.7989091203652</v>
      </c>
      <c r="U51" t="n">
        <v>87.7077414776183</v>
      </c>
      <c r="V51" t="n">
        <v>89.7653845644952</v>
      </c>
      <c r="W51" t="n">
        <v>92.120811434792</v>
      </c>
      <c r="X51" t="n">
        <v>92.0591317585826</v>
      </c>
      <c r="Y51" t="n">
        <v>92.0573045656013</v>
      </c>
      <c r="Z51" t="n">
        <v>91.8250560225965</v>
      </c>
      <c r="AA51" t="n">
        <v>91.5054879004136</v>
      </c>
      <c r="AB51" t="n">
        <v>94.3391797712919</v>
      </c>
      <c r="AC51" t="n">
        <v>96.4849954007016</v>
      </c>
      <c r="AD51" t="n">
        <v>98.3601673433357</v>
      </c>
      <c r="AE51" t="n">
        <v>100</v>
      </c>
      <c r="AF51" t="n">
        <v>106.80898168535</v>
      </c>
    </row>
    <row r="52">
      <c r="A52" t="s">
        <v>31</v>
      </c>
      <c r="B52" t="s">
        <v>261</v>
      </c>
      <c r="C52" t="s">
        <v>129</v>
      </c>
      <c r="D52" t="s">
        <v>262</v>
      </c>
      <c r="E52" t="s">
        <v>130</v>
      </c>
      <c r="F52" t="n">
        <v>23.4317499881881</v>
      </c>
      <c r="G52" t="n">
        <v>28.774497931322</v>
      </c>
      <c r="H52" t="n">
        <v>33.8988770598794</v>
      </c>
      <c r="I52" t="n">
        <v>38.5969184177475</v>
      </c>
      <c r="J52" t="n">
        <v>42.3969062000953</v>
      </c>
      <c r="K52" t="n">
        <v>47.4368468976332</v>
      </c>
      <c r="L52" t="n">
        <v>51.7439074351921</v>
      </c>
      <c r="M52" t="n">
        <v>53.4321711481702</v>
      </c>
      <c r="N52" t="n">
        <v>58.7826773346326</v>
      </c>
      <c r="O52" t="n">
        <v>61.2693327409472</v>
      </c>
      <c r="P52" t="n">
        <v>65.5407674017321</v>
      </c>
      <c r="Q52" t="n">
        <v>69.306884863371</v>
      </c>
      <c r="R52" t="n">
        <v>71.8588098150114</v>
      </c>
      <c r="S52" t="n">
        <v>77.373460944246</v>
      </c>
      <c r="T52" t="n">
        <v>78.9579738103507</v>
      </c>
      <c r="U52" t="n">
        <v>82.3136052563283</v>
      </c>
      <c r="V52" t="n">
        <v>85.9521165889406</v>
      </c>
      <c r="W52" t="n">
        <v>90.2995726776728</v>
      </c>
      <c r="X52" t="n">
        <v>92.0294430339623</v>
      </c>
      <c r="Y52" t="n">
        <v>91.1718603565457</v>
      </c>
      <c r="Z52" t="n">
        <v>89.4799730227136</v>
      </c>
      <c r="AA52" t="n">
        <v>87.8200906769948</v>
      </c>
      <c r="AB52" t="n">
        <v>91.3761107378485</v>
      </c>
      <c r="AC52" t="n">
        <v>95.4200896650442</v>
      </c>
      <c r="AD52" t="n">
        <v>98.154585740906</v>
      </c>
      <c r="AE52" t="n">
        <v>100</v>
      </c>
      <c r="AF52" t="n">
        <v>109.383453036097</v>
      </c>
    </row>
    <row r="53">
      <c r="A53" t="s">
        <v>31</v>
      </c>
      <c r="B53" t="s">
        <v>263</v>
      </c>
      <c r="C53" t="s">
        <v>129</v>
      </c>
      <c r="D53" t="s">
        <v>264</v>
      </c>
      <c r="E53" t="s">
        <v>130</v>
      </c>
      <c r="F53" t="n">
        <v>26.3110729659921</v>
      </c>
      <c r="G53" t="n">
        <v>31.7941491472947</v>
      </c>
      <c r="H53" t="n">
        <v>37.9761548687978</v>
      </c>
      <c r="I53" t="n">
        <v>43.0177557867206</v>
      </c>
      <c r="J53" t="n">
        <v>45.8043636872508</v>
      </c>
      <c r="K53" t="n">
        <v>51.9237356539248</v>
      </c>
      <c r="L53" t="n">
        <v>55.578496986916</v>
      </c>
      <c r="M53" t="n">
        <v>56.9692444365319</v>
      </c>
      <c r="N53" t="n">
        <v>60.8375037400678</v>
      </c>
      <c r="O53" t="n">
        <v>63.9281140437265</v>
      </c>
      <c r="P53" t="n">
        <v>68.7079797416013</v>
      </c>
      <c r="Q53" t="n">
        <v>73.8561980785447</v>
      </c>
      <c r="R53" t="n">
        <v>77.7610275385343</v>
      </c>
      <c r="S53" t="n">
        <v>80.3528364396263</v>
      </c>
      <c r="T53" t="n">
        <v>82.3652987767251</v>
      </c>
      <c r="U53" t="n">
        <v>83.2811693985538</v>
      </c>
      <c r="V53" t="n">
        <v>86.5329801590411</v>
      </c>
      <c r="W53" t="n">
        <v>90.2390882281443</v>
      </c>
      <c r="X53" t="n">
        <v>90.6899590311605</v>
      </c>
      <c r="Y53" t="n">
        <v>89.8334817689959</v>
      </c>
      <c r="Z53" t="n">
        <v>89.6786894834771</v>
      </c>
      <c r="AA53" t="n">
        <v>89.8463459114696</v>
      </c>
      <c r="AB53" t="n">
        <v>92.257381046413</v>
      </c>
      <c r="AC53" t="n">
        <v>94.9873249224577</v>
      </c>
      <c r="AD53" t="n">
        <v>98.3564275680819</v>
      </c>
      <c r="AE53" t="n">
        <v>100</v>
      </c>
      <c r="AF53" t="n">
        <v>106.415673497115</v>
      </c>
    </row>
    <row r="54">
      <c r="A54" t="s">
        <v>31</v>
      </c>
      <c r="B54" t="s">
        <v>265</v>
      </c>
      <c r="C54" t="s">
        <v>129</v>
      </c>
      <c r="D54" t="s">
        <v>266</v>
      </c>
      <c r="E54" t="s">
        <v>130</v>
      </c>
      <c r="F54" t="n">
        <v>26.7403576137345</v>
      </c>
      <c r="G54" t="n">
        <v>32.1463225686576</v>
      </c>
      <c r="H54" t="n">
        <v>38.3679814571551</v>
      </c>
      <c r="I54" t="n">
        <v>43.1937199313326</v>
      </c>
      <c r="J54" t="n">
        <v>46.6654024610429</v>
      </c>
      <c r="K54" t="n">
        <v>52.7007157876694</v>
      </c>
      <c r="L54" t="n">
        <v>55.8857570730964</v>
      </c>
      <c r="M54" t="n">
        <v>56.9446486225532</v>
      </c>
      <c r="N54" t="n">
        <v>60.8107620947603</v>
      </c>
      <c r="O54" t="n">
        <v>63.6323861323592</v>
      </c>
      <c r="P54" t="n">
        <v>68.1091334886395</v>
      </c>
      <c r="Q54" t="n">
        <v>72.2146135263633</v>
      </c>
      <c r="R54" t="n">
        <v>75.5880945674055</v>
      </c>
      <c r="S54" t="n">
        <v>78.7878142045747</v>
      </c>
      <c r="T54" t="n">
        <v>81.4049459651848</v>
      </c>
      <c r="U54" t="n">
        <v>82.8753324887696</v>
      </c>
      <c r="V54" t="n">
        <v>86.0820914782702</v>
      </c>
      <c r="W54" t="n">
        <v>89.0937768932104</v>
      </c>
      <c r="X54" t="n">
        <v>89.3824486195096</v>
      </c>
      <c r="Y54" t="n">
        <v>89.105415010901</v>
      </c>
      <c r="Z54" t="n">
        <v>88.8878425966189</v>
      </c>
      <c r="AA54" t="n">
        <v>89.5393781361711</v>
      </c>
      <c r="AB54" t="n">
        <v>91.9329162788352</v>
      </c>
      <c r="AC54" t="n">
        <v>94.5967812339334</v>
      </c>
      <c r="AD54" t="n">
        <v>98.3342366978302</v>
      </c>
      <c r="AE54" t="n">
        <v>100</v>
      </c>
      <c r="AF54" t="n">
        <v>106.195941873216</v>
      </c>
    </row>
    <row r="55">
      <c r="A55" t="s">
        <v>31</v>
      </c>
      <c r="B55" t="s">
        <v>267</v>
      </c>
      <c r="C55" t="s">
        <v>129</v>
      </c>
      <c r="D55" t="s">
        <v>268</v>
      </c>
      <c r="E55" t="s">
        <v>130</v>
      </c>
      <c r="F55" t="n">
        <v>27.1035838992992</v>
      </c>
      <c r="G55" t="n">
        <v>32.387162252683</v>
      </c>
      <c r="H55" t="n">
        <v>38.6280804978612</v>
      </c>
      <c r="I55" t="n">
        <v>43.184912571975</v>
      </c>
      <c r="J55" t="n">
        <v>47.3157632043835</v>
      </c>
      <c r="K55" t="n">
        <v>53.204482015334</v>
      </c>
      <c r="L55" t="n">
        <v>55.8950374477341</v>
      </c>
      <c r="M55" t="n">
        <v>56.5895796013414</v>
      </c>
      <c r="N55" t="n">
        <v>60.4310421509545</v>
      </c>
      <c r="O55" t="n">
        <v>62.9570832951886</v>
      </c>
      <c r="P55" t="n">
        <v>67.1276465046946</v>
      </c>
      <c r="Q55" t="n">
        <v>70.257694214542</v>
      </c>
      <c r="R55" t="n">
        <v>73.1222164304312</v>
      </c>
      <c r="S55" t="n">
        <v>76.9099591130577</v>
      </c>
      <c r="T55" t="n">
        <v>80.1302177109183</v>
      </c>
      <c r="U55" t="n">
        <v>82.2021683100222</v>
      </c>
      <c r="V55" t="n">
        <v>85.3495007516563</v>
      </c>
      <c r="W55" t="n">
        <v>87.5480087571887</v>
      </c>
      <c r="X55" t="n">
        <v>87.648909390155</v>
      </c>
      <c r="Y55" t="n">
        <v>88.0376660693906</v>
      </c>
      <c r="Z55" t="n">
        <v>87.7478161981461</v>
      </c>
      <c r="AA55" t="n">
        <v>89.0821696524291</v>
      </c>
      <c r="AB55" t="n">
        <v>91.4473275157477</v>
      </c>
      <c r="AC55" t="n">
        <v>94.0087821837538</v>
      </c>
      <c r="AD55" t="n">
        <v>98.3056273455062</v>
      </c>
      <c r="AE55" t="n">
        <v>100</v>
      </c>
      <c r="AF55" t="n">
        <v>105.895869348137</v>
      </c>
    </row>
    <row r="56">
      <c r="A56" t="s">
        <v>31</v>
      </c>
      <c r="B56" t="s">
        <v>269</v>
      </c>
      <c r="C56" t="s">
        <v>129</v>
      </c>
      <c r="D56" t="s">
        <v>270</v>
      </c>
      <c r="E56" t="s">
        <v>130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e">
        <v>#NUM!</v>
      </c>
      <c r="AF56" t="e">
        <v>#NUM!</v>
      </c>
    </row>
    <row r="57">
      <c r="A57" t="s">
        <v>31</v>
      </c>
      <c r="B57" t="s">
        <v>271</v>
      </c>
      <c r="C57" t="s">
        <v>129</v>
      </c>
      <c r="D57" t="s">
        <v>272</v>
      </c>
      <c r="E57" t="s">
        <v>130</v>
      </c>
      <c r="F57" t="n">
        <v>35.916692210586</v>
      </c>
      <c r="G57" t="n">
        <v>43.1331433047765</v>
      </c>
      <c r="H57" t="n">
        <v>49.7305938833246</v>
      </c>
      <c r="I57" t="n">
        <v>54.4741576432444</v>
      </c>
      <c r="J57" t="n">
        <v>59.4164068708852</v>
      </c>
      <c r="K57" t="n">
        <v>64.7182797356276</v>
      </c>
      <c r="L57" t="n">
        <v>65.3434174277403</v>
      </c>
      <c r="M57" t="n">
        <v>63.353410332881</v>
      </c>
      <c r="N57" t="n">
        <v>65.3009087707553</v>
      </c>
      <c r="O57" t="n">
        <v>66.4173493204602</v>
      </c>
      <c r="P57" t="n">
        <v>69.635250551314</v>
      </c>
      <c r="Q57" t="n">
        <v>74.7248969407636</v>
      </c>
      <c r="R57" t="n">
        <v>77.4009969966702</v>
      </c>
      <c r="S57" t="n">
        <v>80.1276169510038</v>
      </c>
      <c r="T57" t="n">
        <v>81.6726695844059</v>
      </c>
      <c r="U57" t="n">
        <v>84.5197151327569</v>
      </c>
      <c r="V57" t="n">
        <v>88.5773376087274</v>
      </c>
      <c r="W57" t="n">
        <v>91.8691411897364</v>
      </c>
      <c r="X57" t="n">
        <v>91.1809143061223</v>
      </c>
      <c r="Y57" t="n">
        <v>90.6223563882108</v>
      </c>
      <c r="Z57" t="n">
        <v>90.2242539374557</v>
      </c>
      <c r="AA57" t="n">
        <v>90.396350325221</v>
      </c>
      <c r="AB57" t="n">
        <v>92.1781358295924</v>
      </c>
      <c r="AC57" t="n">
        <v>95.3853986535001</v>
      </c>
      <c r="AD57" t="n">
        <v>98.4281591539354</v>
      </c>
      <c r="AE57" t="n">
        <v>100</v>
      </c>
      <c r="AF57" t="n">
        <v>109.769560708716</v>
      </c>
    </row>
    <row r="58">
      <c r="A58" t="s">
        <v>31</v>
      </c>
      <c r="B58" t="s">
        <v>273</v>
      </c>
      <c r="C58" t="s">
        <v>129</v>
      </c>
      <c r="D58" t="s">
        <v>274</v>
      </c>
      <c r="E58" t="s">
        <v>130</v>
      </c>
      <c r="F58" t="n">
        <v>35.916692210586</v>
      </c>
      <c r="G58" t="n">
        <v>43.1331433047765</v>
      </c>
      <c r="H58" t="n">
        <v>49.7305938833246</v>
      </c>
      <c r="I58" t="n">
        <v>54.4741576432444</v>
      </c>
      <c r="J58" t="n">
        <v>59.4164068708852</v>
      </c>
      <c r="K58" t="n">
        <v>64.7182797356276</v>
      </c>
      <c r="L58" t="n">
        <v>65.3434174277403</v>
      </c>
      <c r="M58" t="n">
        <v>63.353410332881</v>
      </c>
      <c r="N58" t="n">
        <v>65.3009087707553</v>
      </c>
      <c r="O58" t="n">
        <v>66.4173493204602</v>
      </c>
      <c r="P58" t="n">
        <v>69.635250551314</v>
      </c>
      <c r="Q58" t="n">
        <v>74.7248969407636</v>
      </c>
      <c r="R58" t="n">
        <v>77.4009969966702</v>
      </c>
      <c r="S58" t="n">
        <v>80.1276169510038</v>
      </c>
      <c r="T58" t="n">
        <v>81.6726695844059</v>
      </c>
      <c r="U58" t="n">
        <v>84.5197151327569</v>
      </c>
      <c r="V58" t="n">
        <v>88.5773376087274</v>
      </c>
      <c r="W58" t="n">
        <v>91.8691411897364</v>
      </c>
      <c r="X58" t="n">
        <v>91.1809143061223</v>
      </c>
      <c r="Y58" t="n">
        <v>90.6223563882108</v>
      </c>
      <c r="Z58" t="n">
        <v>90.2242539374557</v>
      </c>
      <c r="AA58" t="n">
        <v>90.396350325221</v>
      </c>
      <c r="AB58" t="n">
        <v>92.1781358295924</v>
      </c>
      <c r="AC58" t="n">
        <v>95.3853986535001</v>
      </c>
      <c r="AD58" t="n">
        <v>98.4281591539354</v>
      </c>
      <c r="AE58" t="n">
        <v>100</v>
      </c>
      <c r="AF58" t="n">
        <v>109.769560708716</v>
      </c>
    </row>
    <row r="59">
      <c r="A59" t="s">
        <v>31</v>
      </c>
      <c r="B59" t="s">
        <v>275</v>
      </c>
      <c r="C59" t="s">
        <v>129</v>
      </c>
      <c r="D59" t="s">
        <v>276</v>
      </c>
      <c r="E59" t="s">
        <v>130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>
      <c r="A2" t="s">
        <v>34</v>
      </c>
      <c r="B2" t="s">
        <v>84</v>
      </c>
      <c r="C2" t="s">
        <v>129</v>
      </c>
      <c r="D2" t="s">
        <v>86</v>
      </c>
      <c r="E2" t="s">
        <v>130</v>
      </c>
      <c r="F2" t="n">
        <v>1331148.68003438</v>
      </c>
      <c r="G2" t="n">
        <v>1395636.30847199</v>
      </c>
      <c r="H2" t="n">
        <v>1348229.24734352</v>
      </c>
      <c r="I2" t="n">
        <v>1402736.0610346</v>
      </c>
      <c r="J2" t="n">
        <v>1440742.72339176</v>
      </c>
      <c r="K2" t="n">
        <v>1296549.76157695</v>
      </c>
      <c r="L2" t="n">
        <v>1458094.22968487</v>
      </c>
      <c r="M2" t="n">
        <v>1233782.02398477</v>
      </c>
      <c r="N2" t="n">
        <v>1233102.10799855</v>
      </c>
      <c r="O2" t="n">
        <v>1850983.00034687</v>
      </c>
      <c r="P2" t="n">
        <v>1744366.02173963</v>
      </c>
      <c r="Q2" t="n">
        <v>1633190.70676731</v>
      </c>
      <c r="R2" t="n">
        <v>1306022.01543591</v>
      </c>
      <c r="S2" t="n">
        <v>2029527.50849236</v>
      </c>
      <c r="T2" t="n">
        <v>1752846.89910424</v>
      </c>
      <c r="U2" t="n">
        <v>1364208.04704612</v>
      </c>
      <c r="V2" t="n">
        <v>1590777.43281267</v>
      </c>
      <c r="W2" t="n">
        <v>1251634.29010685</v>
      </c>
      <c r="X2" t="n">
        <v>1437608.87516754</v>
      </c>
      <c r="Y2" t="n">
        <v>1655562.80160952</v>
      </c>
      <c r="Z2" t="n">
        <v>1635668.39549434</v>
      </c>
      <c r="AA2" t="n">
        <v>1849118.04903415</v>
      </c>
      <c r="AB2" t="n">
        <v>1730560.43266683</v>
      </c>
      <c r="AC2" t="n">
        <v>1819684.09017107</v>
      </c>
      <c r="AD2" t="n">
        <v>1790897.10455377</v>
      </c>
      <c r="AE2" t="n">
        <v>1641184</v>
      </c>
      <c r="AF2" t="n">
        <v>1666885</v>
      </c>
    </row>
    <row r="3">
      <c r="A3" t="s">
        <v>34</v>
      </c>
      <c r="B3" t="s">
        <v>163</v>
      </c>
      <c r="C3" t="s">
        <v>129</v>
      </c>
      <c r="D3" t="s">
        <v>164</v>
      </c>
      <c r="E3" t="s">
        <v>130</v>
      </c>
      <c r="F3" t="n">
        <v>51095.8878638647</v>
      </c>
      <c r="G3" t="n">
        <v>51402.1960350489</v>
      </c>
      <c r="H3" t="n">
        <v>54348.7289399653</v>
      </c>
      <c r="I3" t="n">
        <v>38402.8415005584</v>
      </c>
      <c r="J3" t="n">
        <v>32733.060892939</v>
      </c>
      <c r="K3" t="n">
        <v>30737.7360392213</v>
      </c>
      <c r="L3" t="n">
        <v>29628.3128641007</v>
      </c>
      <c r="M3" t="n">
        <v>32630.6485676629</v>
      </c>
      <c r="N3" t="n">
        <v>34825.8998417332</v>
      </c>
      <c r="O3" t="n">
        <v>36291.3302923258</v>
      </c>
      <c r="P3" t="n">
        <v>42037.8248581805</v>
      </c>
      <c r="Q3" t="n">
        <v>46673.9979468358</v>
      </c>
      <c r="R3" t="n">
        <v>38253.9610064365</v>
      </c>
      <c r="S3" t="n">
        <v>52376.1274917232</v>
      </c>
      <c r="T3" t="n">
        <v>80969.8750724012</v>
      </c>
      <c r="U3" t="n">
        <v>56983.2447752478</v>
      </c>
      <c r="V3" t="n">
        <v>62596.0355740683</v>
      </c>
      <c r="W3" t="n">
        <v>49904.4954599083</v>
      </c>
      <c r="X3" t="n">
        <v>54947.5648131378</v>
      </c>
      <c r="Y3" t="n">
        <v>54918.8210347913</v>
      </c>
      <c r="Z3" t="n">
        <v>46070.5692572794</v>
      </c>
      <c r="AA3" t="n">
        <v>45298.6217131498</v>
      </c>
      <c r="AB3" t="n">
        <v>59434.607086092</v>
      </c>
      <c r="AC3" t="n">
        <v>95656.1407031258</v>
      </c>
      <c r="AD3" t="n">
        <v>143011.069566747</v>
      </c>
      <c r="AE3" t="n">
        <v>105040</v>
      </c>
      <c r="AF3" t="n">
        <v>114740</v>
      </c>
    </row>
    <row r="4">
      <c r="A4" t="s">
        <v>34</v>
      </c>
      <c r="B4" t="s">
        <v>165</v>
      </c>
      <c r="C4" t="s">
        <v>129</v>
      </c>
      <c r="D4" t="s">
        <v>166</v>
      </c>
      <c r="E4" t="s">
        <v>130</v>
      </c>
      <c r="F4" t="n">
        <v>3836292.05656618</v>
      </c>
      <c r="G4" t="n">
        <v>4010985.55445907</v>
      </c>
      <c r="H4" t="n">
        <v>4572150.5400922</v>
      </c>
      <c r="I4" t="n">
        <v>5014355.29635953</v>
      </c>
      <c r="J4" t="n">
        <v>5321297.04443826</v>
      </c>
      <c r="K4" t="n">
        <v>5564618.3884354</v>
      </c>
      <c r="L4" t="n">
        <v>5819847.01404903</v>
      </c>
      <c r="M4" t="n">
        <v>6241338.69046748</v>
      </c>
      <c r="N4" t="n">
        <v>6765234.34720512</v>
      </c>
      <c r="O4" t="n">
        <v>7174744.23273265</v>
      </c>
      <c r="P4" t="n">
        <v>7554380.30005005</v>
      </c>
      <c r="Q4" t="n">
        <v>8063119.70249767</v>
      </c>
      <c r="R4" t="n">
        <v>8560081.88814617</v>
      </c>
      <c r="S4" t="n">
        <v>8267867.66059359</v>
      </c>
      <c r="T4" t="n">
        <v>6802667.67945021</v>
      </c>
      <c r="U4" t="n">
        <v>7437695.76655785</v>
      </c>
      <c r="V4" t="n">
        <v>7473319.49437917</v>
      </c>
      <c r="W4" t="n">
        <v>7372141.20528657</v>
      </c>
      <c r="X4" t="n">
        <v>7219548.14305959</v>
      </c>
      <c r="Y4" t="n">
        <v>7736260.25871486</v>
      </c>
      <c r="Z4" t="n">
        <v>8409865.42815975</v>
      </c>
      <c r="AA4" t="n">
        <v>8437238.8650058</v>
      </c>
      <c r="AB4" t="n">
        <v>8711127.36096468</v>
      </c>
      <c r="AC4" t="n">
        <v>8933550.13864639</v>
      </c>
      <c r="AD4" t="n">
        <v>9104806.486434</v>
      </c>
      <c r="AE4" t="n">
        <v>8431049</v>
      </c>
      <c r="AF4" t="n">
        <v>9022916</v>
      </c>
    </row>
    <row r="5">
      <c r="A5" t="s">
        <v>34</v>
      </c>
      <c r="B5" t="s">
        <v>167</v>
      </c>
      <c r="C5" t="s">
        <v>129</v>
      </c>
      <c r="D5" t="s">
        <v>168</v>
      </c>
      <c r="E5" t="s">
        <v>130</v>
      </c>
      <c r="F5" t="n">
        <v>1435123.54420363</v>
      </c>
      <c r="G5" t="n">
        <v>1464508.62220675</v>
      </c>
      <c r="H5" t="n">
        <v>1137363.81581207</v>
      </c>
      <c r="I5" t="n">
        <v>1173250.78617221</v>
      </c>
      <c r="J5" t="n">
        <v>1175540.86061711</v>
      </c>
      <c r="K5" t="n">
        <v>1235176.35157777</v>
      </c>
      <c r="L5" t="n">
        <v>932222.214913273</v>
      </c>
      <c r="M5" t="n">
        <v>1036557.65238497</v>
      </c>
      <c r="N5" t="n">
        <v>1039425.14693664</v>
      </c>
      <c r="O5" t="n">
        <v>961282.842103523</v>
      </c>
      <c r="P5" t="n">
        <v>928202.864963113</v>
      </c>
      <c r="Q5" t="n">
        <v>987566.558164192</v>
      </c>
      <c r="R5" t="n">
        <v>948311.763236082</v>
      </c>
      <c r="S5" t="n">
        <v>737809.628760809</v>
      </c>
      <c r="T5" t="n">
        <v>838183.169877512</v>
      </c>
      <c r="U5" t="n">
        <v>873005.719537021</v>
      </c>
      <c r="V5" t="n">
        <v>751292.769724852</v>
      </c>
      <c r="W5" t="n">
        <v>778376.572838881</v>
      </c>
      <c r="X5" t="n">
        <v>730194.525638884</v>
      </c>
      <c r="Y5" t="n">
        <v>744287.039294744</v>
      </c>
      <c r="Z5" t="n">
        <v>797672.271956718</v>
      </c>
      <c r="AA5" t="n">
        <v>822444.399358055</v>
      </c>
      <c r="AB5" t="n">
        <v>827947.598106449</v>
      </c>
      <c r="AC5" t="n">
        <v>921114.977161648</v>
      </c>
      <c r="AD5" t="n">
        <v>898268.792493805</v>
      </c>
      <c r="AE5" t="n">
        <v>862953</v>
      </c>
      <c r="AF5" t="n">
        <v>938703</v>
      </c>
    </row>
    <row r="6">
      <c r="A6" t="s">
        <v>34</v>
      </c>
      <c r="B6" t="s">
        <v>169</v>
      </c>
      <c r="C6" t="s">
        <v>129</v>
      </c>
      <c r="D6" t="s">
        <v>170</v>
      </c>
      <c r="E6" t="s">
        <v>130</v>
      </c>
      <c r="F6" t="n">
        <v>323473.094123096</v>
      </c>
      <c r="G6" t="n">
        <v>343197.857157771</v>
      </c>
      <c r="H6" t="n">
        <v>363926.436261225</v>
      </c>
      <c r="I6" t="n">
        <v>353219.684193645</v>
      </c>
      <c r="J6" t="n">
        <v>323541.756924175</v>
      </c>
      <c r="K6" t="n">
        <v>320019.68534413</v>
      </c>
      <c r="L6" t="n">
        <v>361705.735437229</v>
      </c>
      <c r="M6" t="n">
        <v>341953.246372142</v>
      </c>
      <c r="N6" t="n">
        <v>295857.116213032</v>
      </c>
      <c r="O6" t="n">
        <v>268954.139457557</v>
      </c>
      <c r="P6" t="n">
        <v>224819.317162526</v>
      </c>
      <c r="Q6" t="n">
        <v>227573.23735211</v>
      </c>
      <c r="R6" t="n">
        <v>207377.964608599</v>
      </c>
      <c r="S6" t="n">
        <v>193301.641484646</v>
      </c>
      <c r="T6" t="n">
        <v>164695.200896914</v>
      </c>
      <c r="U6" t="n">
        <v>168039.301417434</v>
      </c>
      <c r="V6" t="n">
        <v>179857.035591192</v>
      </c>
      <c r="W6" t="n">
        <v>169991.74764272</v>
      </c>
      <c r="X6" t="n">
        <v>169549.722514165</v>
      </c>
      <c r="Y6" t="n">
        <v>173329.081283505</v>
      </c>
      <c r="Z6" t="n">
        <v>170525.137832992</v>
      </c>
      <c r="AA6" t="n">
        <v>178427.95060589</v>
      </c>
      <c r="AB6" t="n">
        <v>193197.980770358</v>
      </c>
      <c r="AC6" t="n">
        <v>193092.26129899</v>
      </c>
      <c r="AD6" t="n">
        <v>190333.600290698</v>
      </c>
      <c r="AE6" t="n">
        <v>154541</v>
      </c>
      <c r="AF6" t="n">
        <v>166011</v>
      </c>
    </row>
    <row r="7">
      <c r="A7" t="s">
        <v>34</v>
      </c>
      <c r="B7" t="s">
        <v>171</v>
      </c>
      <c r="C7" t="s">
        <v>129</v>
      </c>
      <c r="D7" t="s">
        <v>172</v>
      </c>
      <c r="E7" t="s">
        <v>130</v>
      </c>
      <c r="F7" t="n">
        <v>215937.775366785</v>
      </c>
      <c r="G7" t="n">
        <v>225050.719009563</v>
      </c>
      <c r="H7" t="n">
        <v>264314.475053116</v>
      </c>
      <c r="I7" t="n">
        <v>262606.996420203</v>
      </c>
      <c r="J7" t="n">
        <v>277677.842175731</v>
      </c>
      <c r="K7" t="n">
        <v>291734.354570623</v>
      </c>
      <c r="L7" t="n">
        <v>337418.860655732</v>
      </c>
      <c r="M7" t="n">
        <v>354369.289351743</v>
      </c>
      <c r="N7" t="n">
        <v>362077.568950164</v>
      </c>
      <c r="O7" t="n">
        <v>376344.582558241</v>
      </c>
      <c r="P7" t="n">
        <v>377848.198643288</v>
      </c>
      <c r="Q7" t="n">
        <v>383304.20296709</v>
      </c>
      <c r="R7" t="n">
        <v>375381.124906796</v>
      </c>
      <c r="S7" t="n">
        <v>370645.73409217</v>
      </c>
      <c r="T7" t="n">
        <v>323627.720066598</v>
      </c>
      <c r="U7" t="n">
        <v>356777.272447521</v>
      </c>
      <c r="V7" t="n">
        <v>330803.991603734</v>
      </c>
      <c r="W7" t="n">
        <v>315361.008925366</v>
      </c>
      <c r="X7" t="n">
        <v>318067.555079208</v>
      </c>
      <c r="Y7" t="n">
        <v>324180.995271316</v>
      </c>
      <c r="Z7" t="n">
        <v>324223.639773259</v>
      </c>
      <c r="AA7" t="n">
        <v>334467.282319436</v>
      </c>
      <c r="AB7" t="n">
        <v>354382.278026081</v>
      </c>
      <c r="AC7" t="n">
        <v>371219.720539611</v>
      </c>
      <c r="AD7" t="n">
        <v>397506.162026673</v>
      </c>
      <c r="AE7" t="n">
        <v>384698</v>
      </c>
      <c r="AF7" t="n">
        <v>409055</v>
      </c>
    </row>
    <row r="8">
      <c r="A8" t="s">
        <v>34</v>
      </c>
      <c r="B8" t="s">
        <v>173</v>
      </c>
      <c r="C8" t="s">
        <v>129</v>
      </c>
      <c r="D8" t="s">
        <v>174</v>
      </c>
      <c r="E8" t="s">
        <v>130</v>
      </c>
      <c r="F8" t="n">
        <v>2039607.45581084</v>
      </c>
      <c r="G8" t="n">
        <v>1759928.97733634</v>
      </c>
      <c r="H8" t="n">
        <v>1791182.93343477</v>
      </c>
      <c r="I8" t="n">
        <v>1955289.37135057</v>
      </c>
      <c r="J8" t="n">
        <v>1910270.21961127</v>
      </c>
      <c r="K8" t="n">
        <v>680718.193944023</v>
      </c>
      <c r="L8" t="n">
        <v>644005.411857607</v>
      </c>
      <c r="M8" t="n">
        <v>705724.893603009</v>
      </c>
      <c r="N8" t="n">
        <v>742650.781180767</v>
      </c>
      <c r="O8" t="n">
        <v>922992.363702517</v>
      </c>
      <c r="P8" t="n">
        <v>872285.388494913</v>
      </c>
      <c r="Q8" t="n">
        <v>906584.747856164</v>
      </c>
      <c r="R8" t="n">
        <v>840763.146907893</v>
      </c>
      <c r="S8" t="n">
        <v>858596.962888568</v>
      </c>
      <c r="T8" t="n">
        <v>806494.473547018</v>
      </c>
      <c r="U8" t="n">
        <v>614441.212617634</v>
      </c>
      <c r="V8" t="n">
        <v>271807.861578573</v>
      </c>
      <c r="W8" t="n">
        <v>254457.992039125</v>
      </c>
      <c r="X8" t="n">
        <v>201175.465756692</v>
      </c>
      <c r="Y8" t="n">
        <v>234927.53660061</v>
      </c>
      <c r="Z8" t="n">
        <v>243953.748022686</v>
      </c>
      <c r="AA8" t="n">
        <v>253784.991227741</v>
      </c>
      <c r="AB8" t="n">
        <v>255852.146119356</v>
      </c>
      <c r="AC8" t="n">
        <v>266114.621832282</v>
      </c>
      <c r="AD8" t="n">
        <v>238145.693158285</v>
      </c>
      <c r="AE8" t="n">
        <v>181733</v>
      </c>
      <c r="AF8" t="n">
        <v>241967</v>
      </c>
    </row>
    <row r="9">
      <c r="A9" t="s">
        <v>34</v>
      </c>
      <c r="B9" t="s">
        <v>175</v>
      </c>
      <c r="C9" t="s">
        <v>129</v>
      </c>
      <c r="D9" t="s">
        <v>176</v>
      </c>
      <c r="E9" t="s">
        <v>130</v>
      </c>
      <c r="F9" t="n">
        <v>2884013.77770156</v>
      </c>
      <c r="G9" t="n">
        <v>2323335.26650322</v>
      </c>
      <c r="H9" t="n">
        <v>2293559.53311357</v>
      </c>
      <c r="I9" t="n">
        <v>2113975.07287398</v>
      </c>
      <c r="J9" t="n">
        <v>1658957.81496151</v>
      </c>
      <c r="K9" t="n">
        <v>1181450.3773028</v>
      </c>
      <c r="L9" t="n">
        <v>1252525.49882427</v>
      </c>
      <c r="M9" t="n">
        <v>1186150.46480108</v>
      </c>
      <c r="N9" t="n">
        <v>1125949.71368409</v>
      </c>
      <c r="O9" t="n">
        <v>1192186.54837963</v>
      </c>
      <c r="P9" t="n">
        <v>1083150.31663318</v>
      </c>
      <c r="Q9" t="n">
        <v>1032677.35016144</v>
      </c>
      <c r="R9" t="n">
        <v>1188885.43978854</v>
      </c>
      <c r="S9" t="n">
        <v>1179561.59246885</v>
      </c>
      <c r="T9" t="n">
        <v>593509.253433683</v>
      </c>
      <c r="U9" t="n">
        <v>488289.223511715</v>
      </c>
      <c r="V9" t="n">
        <v>438473.578436705</v>
      </c>
      <c r="W9" t="n">
        <v>434028.616951967</v>
      </c>
      <c r="X9" t="n">
        <v>377321.799685884</v>
      </c>
      <c r="Y9" t="n">
        <v>431162.223247659</v>
      </c>
      <c r="Z9" t="n">
        <v>507398.138755607</v>
      </c>
      <c r="AA9" t="n">
        <v>516978.208654441</v>
      </c>
      <c r="AB9" t="n">
        <v>544047.413689728</v>
      </c>
      <c r="AC9" t="n">
        <v>537328.511824783</v>
      </c>
      <c r="AD9" t="n">
        <v>476957.43083435</v>
      </c>
      <c r="AE9" t="n">
        <v>485687</v>
      </c>
      <c r="AF9" t="n">
        <v>476574</v>
      </c>
    </row>
    <row r="10">
      <c r="A10" t="s">
        <v>34</v>
      </c>
      <c r="B10" t="s">
        <v>177</v>
      </c>
      <c r="C10" t="s">
        <v>129</v>
      </c>
      <c r="D10" t="s">
        <v>178</v>
      </c>
      <c r="E10" t="s">
        <v>130</v>
      </c>
      <c r="F10" t="n">
        <v>1566199.00055203</v>
      </c>
      <c r="G10" t="n">
        <v>1403040.37473212</v>
      </c>
      <c r="H10" t="n">
        <v>1486227.566145</v>
      </c>
      <c r="I10" t="n">
        <v>1425844.31252338</v>
      </c>
      <c r="J10" t="n">
        <v>1169465.90242382</v>
      </c>
      <c r="K10" t="n">
        <v>995334.861863059</v>
      </c>
      <c r="L10" t="n">
        <v>1114354.41330486</v>
      </c>
      <c r="M10" t="n">
        <v>1129603.70463346</v>
      </c>
      <c r="N10" t="n">
        <v>1237018.95708335</v>
      </c>
      <c r="O10" t="n">
        <v>1273008.70511574</v>
      </c>
      <c r="P10" t="n">
        <v>1261996.61530784</v>
      </c>
      <c r="Q10" t="n">
        <v>1299936.29923425</v>
      </c>
      <c r="R10" t="n">
        <v>1296394.53913712</v>
      </c>
      <c r="S10" t="n">
        <v>1308985.24153917</v>
      </c>
      <c r="T10" t="n">
        <v>1007102.74250177</v>
      </c>
      <c r="U10" t="n">
        <v>1093808.65560617</v>
      </c>
      <c r="V10" t="n">
        <v>1084144.57241469</v>
      </c>
      <c r="W10" t="n">
        <v>1072288.5569731</v>
      </c>
      <c r="X10" t="n">
        <v>864488.679606641</v>
      </c>
      <c r="Y10" t="n">
        <v>941077.991820712</v>
      </c>
      <c r="Z10" t="n">
        <v>1004490.93971231</v>
      </c>
      <c r="AA10" t="n">
        <v>1004147.917765</v>
      </c>
      <c r="AB10" t="n">
        <v>1079377.29153959</v>
      </c>
      <c r="AC10" t="n">
        <v>1057859.26945975</v>
      </c>
      <c r="AD10" t="n">
        <v>1032621.8824026</v>
      </c>
      <c r="AE10" t="n">
        <v>1057483</v>
      </c>
      <c r="AF10" t="n">
        <v>1020962</v>
      </c>
    </row>
    <row r="11">
      <c r="A11" t="s">
        <v>34</v>
      </c>
      <c r="B11" t="s">
        <v>179</v>
      </c>
      <c r="C11" t="s">
        <v>129</v>
      </c>
      <c r="D11" t="s">
        <v>180</v>
      </c>
      <c r="E11" t="s">
        <v>130</v>
      </c>
      <c r="F11" t="n">
        <v>371599.342712106</v>
      </c>
      <c r="G11" t="n">
        <v>375614.190114727</v>
      </c>
      <c r="H11" t="n">
        <v>424495.826674634</v>
      </c>
      <c r="I11" t="n">
        <v>422033.48336608</v>
      </c>
      <c r="J11" t="n">
        <v>359454.629984612</v>
      </c>
      <c r="K11" t="n">
        <v>347614.906685089</v>
      </c>
      <c r="L11" t="n">
        <v>405164.447570255</v>
      </c>
      <c r="M11" t="n">
        <v>431286.74840264</v>
      </c>
      <c r="N11" t="n">
        <v>515997.455537865</v>
      </c>
      <c r="O11" t="n">
        <v>522282.083952979</v>
      </c>
      <c r="P11" t="n">
        <v>543399.54951974</v>
      </c>
      <c r="Q11" t="n">
        <v>581948.404713273</v>
      </c>
      <c r="R11" t="n">
        <v>529986.9444326</v>
      </c>
      <c r="S11" t="n">
        <v>541737.054994268</v>
      </c>
      <c r="T11" t="n">
        <v>507524.097198913</v>
      </c>
      <c r="U11" t="n">
        <v>602355.932695841</v>
      </c>
      <c r="V11" t="n">
        <v>617244.013282442</v>
      </c>
      <c r="W11" t="n">
        <v>610301.92198414</v>
      </c>
      <c r="X11" t="n">
        <v>475307.643233775</v>
      </c>
      <c r="Y11" t="n">
        <v>502810.378541951</v>
      </c>
      <c r="Z11" t="n">
        <v>499255.041267178</v>
      </c>
      <c r="AA11" t="n">
        <v>490748.431290964</v>
      </c>
      <c r="AB11" t="n">
        <v>537564.311452085</v>
      </c>
      <c r="AC11" t="n">
        <v>522944.33733534</v>
      </c>
      <c r="AD11" t="n">
        <v>555938.363624702</v>
      </c>
      <c r="AE11" t="n">
        <v>571796</v>
      </c>
      <c r="AF11" t="n">
        <v>544388</v>
      </c>
    </row>
    <row r="12">
      <c r="A12" t="s">
        <v>34</v>
      </c>
      <c r="B12" t="s">
        <v>181</v>
      </c>
      <c r="C12" t="s">
        <v>129</v>
      </c>
      <c r="D12" t="s">
        <v>182</v>
      </c>
      <c r="E12" t="s">
        <v>130</v>
      </c>
      <c r="F12" t="n">
        <v>321206.859910644</v>
      </c>
      <c r="G12" t="n">
        <v>313087.205817582</v>
      </c>
      <c r="H12" t="n">
        <v>360127.934361657</v>
      </c>
      <c r="I12" t="n">
        <v>406529.811887313</v>
      </c>
      <c r="J12" t="n">
        <v>412593.647144893</v>
      </c>
      <c r="K12" t="n">
        <v>446705.311423539</v>
      </c>
      <c r="L12" t="n">
        <v>504099.550896937</v>
      </c>
      <c r="M12" t="n">
        <v>538408.298225352</v>
      </c>
      <c r="N12" t="n">
        <v>592733.688229671</v>
      </c>
      <c r="O12" t="n">
        <v>622871.146966292</v>
      </c>
      <c r="P12" t="n">
        <v>664240.80780538</v>
      </c>
      <c r="Q12" t="n">
        <v>740516.051913581</v>
      </c>
      <c r="R12" t="n">
        <v>818107.00266431</v>
      </c>
      <c r="S12" t="n">
        <v>834025.681195798</v>
      </c>
      <c r="T12" t="n">
        <v>616815.706650132</v>
      </c>
      <c r="U12" t="n">
        <v>687347.756076998</v>
      </c>
      <c r="V12" t="n">
        <v>704564.586448945</v>
      </c>
      <c r="W12" t="n">
        <v>709147.798730468</v>
      </c>
      <c r="X12" t="n">
        <v>684860.360971709</v>
      </c>
      <c r="Y12" t="n">
        <v>709477.685758028</v>
      </c>
      <c r="Z12" t="n">
        <v>762536.140535613</v>
      </c>
      <c r="AA12" t="n">
        <v>806067.002102627</v>
      </c>
      <c r="AB12" t="n">
        <v>867075.669172383</v>
      </c>
      <c r="AC12" t="n">
        <v>977559.127600198</v>
      </c>
      <c r="AD12" t="n">
        <v>1023676.0351871</v>
      </c>
      <c r="AE12" t="n">
        <v>936783</v>
      </c>
      <c r="AF12" t="n">
        <v>1028461</v>
      </c>
    </row>
    <row r="13">
      <c r="A13" t="s">
        <v>34</v>
      </c>
      <c r="B13" t="s">
        <v>183</v>
      </c>
      <c r="C13" t="s">
        <v>129</v>
      </c>
      <c r="D13" t="s">
        <v>184</v>
      </c>
      <c r="E13" t="s">
        <v>130</v>
      </c>
      <c r="F13" t="n">
        <v>531215.63037777</v>
      </c>
      <c r="G13" t="n">
        <v>547723.179754075</v>
      </c>
      <c r="H13" t="n">
        <v>645353.849316008</v>
      </c>
      <c r="I13" t="n">
        <v>651589.081081875</v>
      </c>
      <c r="J13" t="n">
        <v>649949.076469587</v>
      </c>
      <c r="K13" t="n">
        <v>760926.078969643</v>
      </c>
      <c r="L13" t="n">
        <v>758373.981815006</v>
      </c>
      <c r="M13" t="n">
        <v>774690.41346254</v>
      </c>
      <c r="N13" t="n">
        <v>850966.53088523</v>
      </c>
      <c r="O13" t="n">
        <v>926406.150700153</v>
      </c>
      <c r="P13" t="n">
        <v>952855.415852038</v>
      </c>
      <c r="Q13" t="n">
        <v>1084689.04037324</v>
      </c>
      <c r="R13" t="n">
        <v>1163078.43804906</v>
      </c>
      <c r="S13" t="n">
        <v>1167344.56508134</v>
      </c>
      <c r="T13" t="n">
        <v>607541.599050177</v>
      </c>
      <c r="U13" t="n">
        <v>713275.544838912</v>
      </c>
      <c r="V13" t="n">
        <v>720616.647118322</v>
      </c>
      <c r="W13" t="n">
        <v>729271.943987309</v>
      </c>
      <c r="X13" t="n">
        <v>759451.19999316</v>
      </c>
      <c r="Y13" t="n">
        <v>753547.234024705</v>
      </c>
      <c r="Z13" t="n">
        <v>805300.085218479</v>
      </c>
      <c r="AA13" t="n">
        <v>840597.062643253</v>
      </c>
      <c r="AB13" t="n">
        <v>883150.718154523</v>
      </c>
      <c r="AC13" t="n">
        <v>965291.765004995</v>
      </c>
      <c r="AD13" t="n">
        <v>967073.013398091</v>
      </c>
      <c r="AE13" t="n">
        <v>856192</v>
      </c>
      <c r="AF13" t="n">
        <v>968095</v>
      </c>
    </row>
    <row r="14">
      <c r="A14" t="s">
        <v>34</v>
      </c>
      <c r="B14" t="s">
        <v>185</v>
      </c>
      <c r="C14" t="s">
        <v>129</v>
      </c>
      <c r="D14" t="s">
        <v>186</v>
      </c>
      <c r="E14" t="s">
        <v>130</v>
      </c>
      <c r="F14" t="n">
        <v>22368.5941595033</v>
      </c>
      <c r="G14" t="n">
        <v>32925.1842560776</v>
      </c>
      <c r="H14" t="n">
        <v>72295.3854973078</v>
      </c>
      <c r="I14" t="n">
        <v>104575.749881977</v>
      </c>
      <c r="J14" t="n">
        <v>199330.009687273</v>
      </c>
      <c r="K14" t="n">
        <v>248546.566763036</v>
      </c>
      <c r="L14" t="n">
        <v>315455.46925218</v>
      </c>
      <c r="M14" t="n">
        <v>304608.720443756</v>
      </c>
      <c r="N14" t="n">
        <v>366062.161562012</v>
      </c>
      <c r="O14" t="n">
        <v>416168.207891139</v>
      </c>
      <c r="P14" t="n">
        <v>514953.704057088</v>
      </c>
      <c r="Q14" t="n">
        <v>509051.284826116</v>
      </c>
      <c r="R14" t="n">
        <v>535050.63213393</v>
      </c>
      <c r="S14" t="n">
        <v>527606.468381136</v>
      </c>
      <c r="T14" t="n">
        <v>430968.79878332</v>
      </c>
      <c r="U14" t="n">
        <v>442114.864939899</v>
      </c>
      <c r="V14" t="n">
        <v>686164.578226147</v>
      </c>
      <c r="W14" t="n">
        <v>555741.818949734</v>
      </c>
      <c r="X14" t="n">
        <v>599606.726762457</v>
      </c>
      <c r="Y14" t="n">
        <v>656504.502556157</v>
      </c>
      <c r="Z14" t="n">
        <v>707776.125940397</v>
      </c>
      <c r="AA14" t="n">
        <v>784377.300073066</v>
      </c>
      <c r="AB14" t="n">
        <v>853486.599794363</v>
      </c>
      <c r="AC14" t="n">
        <v>743360.507906919</v>
      </c>
      <c r="AD14" t="n">
        <v>779350.330873969</v>
      </c>
      <c r="AE14" t="n">
        <v>730357</v>
      </c>
      <c r="AF14" t="n">
        <v>761388</v>
      </c>
    </row>
    <row r="15">
      <c r="A15" t="s">
        <v>34</v>
      </c>
      <c r="B15" t="s">
        <v>187</v>
      </c>
      <c r="C15" t="s">
        <v>129</v>
      </c>
      <c r="D15" t="s">
        <v>188</v>
      </c>
      <c r="E15" t="s">
        <v>130</v>
      </c>
      <c r="F15" t="n">
        <v>94715.5101827611</v>
      </c>
      <c r="G15" t="n">
        <v>134235.266276559</v>
      </c>
      <c r="H15" t="n">
        <v>213599.099007543</v>
      </c>
      <c r="I15" t="n">
        <v>284057.524490675</v>
      </c>
      <c r="J15" t="n">
        <v>446954.211837622</v>
      </c>
      <c r="K15" t="n">
        <v>595258.367606427</v>
      </c>
      <c r="L15" t="n">
        <v>678115.978291854</v>
      </c>
      <c r="M15" t="n">
        <v>734904.09184044</v>
      </c>
      <c r="N15" t="n">
        <v>895085.923355329</v>
      </c>
      <c r="O15" t="n">
        <v>1063757.5368899</v>
      </c>
      <c r="P15" t="n">
        <v>1282129.14478561</v>
      </c>
      <c r="Q15" t="n">
        <v>1236468.37337069</v>
      </c>
      <c r="R15" t="n">
        <v>1324681.63670399</v>
      </c>
      <c r="S15" t="n">
        <v>1262808.10136285</v>
      </c>
      <c r="T15" t="n">
        <v>711968.020209137</v>
      </c>
      <c r="U15" t="n">
        <v>752100.716206329</v>
      </c>
      <c r="V15" t="n">
        <v>1007628.53068057</v>
      </c>
      <c r="W15" t="n">
        <v>858136.984380423</v>
      </c>
      <c r="X15" t="n">
        <v>900078.827674073</v>
      </c>
      <c r="Y15" t="n">
        <v>997605.842542327</v>
      </c>
      <c r="Z15" t="n">
        <v>1046075.3512306</v>
      </c>
      <c r="AA15" t="n">
        <v>1142510.52332161</v>
      </c>
      <c r="AB15" t="n">
        <v>1235591.50114517</v>
      </c>
      <c r="AC15" t="n">
        <v>1180381.88939258</v>
      </c>
      <c r="AD15" t="n">
        <v>1267941.37810168</v>
      </c>
      <c r="AE15" t="n">
        <v>1251794</v>
      </c>
      <c r="AF15" t="n">
        <v>1426281</v>
      </c>
    </row>
    <row r="16">
      <c r="A16" t="s">
        <v>34</v>
      </c>
      <c r="B16" t="s">
        <v>189</v>
      </c>
      <c r="C16" t="s">
        <v>129</v>
      </c>
      <c r="D16" t="s">
        <v>190</v>
      </c>
      <c r="E16" t="s">
        <v>130</v>
      </c>
      <c r="F16" t="n">
        <v>157786.801946378</v>
      </c>
      <c r="G16" t="n">
        <v>215936.791123962</v>
      </c>
      <c r="H16" t="n">
        <v>230632.230640703</v>
      </c>
      <c r="I16" t="n">
        <v>270206.387687226</v>
      </c>
      <c r="J16" t="n">
        <v>300550.590177265</v>
      </c>
      <c r="K16" t="n">
        <v>433447.725440773</v>
      </c>
      <c r="L16" t="n">
        <v>436297.601895753</v>
      </c>
      <c r="M16" t="n">
        <v>539190.272449355</v>
      </c>
      <c r="N16" t="n">
        <v>666049.835806993</v>
      </c>
      <c r="O16" t="n">
        <v>833934.15591434</v>
      </c>
      <c r="P16" t="n">
        <v>972564.539466792</v>
      </c>
      <c r="Q16" t="n">
        <v>909943.933493019</v>
      </c>
      <c r="R16" t="n">
        <v>998102.95915937</v>
      </c>
      <c r="S16" t="n">
        <v>923955.993975328</v>
      </c>
      <c r="T16" t="n">
        <v>304347.690332814</v>
      </c>
      <c r="U16" t="n">
        <v>341420.601652329</v>
      </c>
      <c r="V16" t="n">
        <v>317072.857748454</v>
      </c>
      <c r="W16" t="n">
        <v>304358.754223595</v>
      </c>
      <c r="X16" t="n">
        <v>300138.579129074</v>
      </c>
      <c r="Y16" t="n">
        <v>341300.94715061</v>
      </c>
      <c r="Z16" t="n">
        <v>339607.610182053</v>
      </c>
      <c r="AA16" t="n">
        <v>360718.675026748</v>
      </c>
      <c r="AB16" t="n">
        <v>385735.068214492</v>
      </c>
      <c r="AC16" t="n">
        <v>435396.424208877</v>
      </c>
      <c r="AD16" t="n">
        <v>487751.009344631</v>
      </c>
      <c r="AE16" t="n">
        <v>521437</v>
      </c>
      <c r="AF16" t="n">
        <v>664893</v>
      </c>
    </row>
    <row r="17">
      <c r="A17" t="s">
        <v>34</v>
      </c>
      <c r="B17" t="s">
        <v>191</v>
      </c>
      <c r="C17" t="s">
        <v>129</v>
      </c>
      <c r="D17" t="s">
        <v>192</v>
      </c>
      <c r="E17" t="s">
        <v>130</v>
      </c>
      <c r="F17" t="n">
        <v>155356.87256337</v>
      </c>
      <c r="G17" t="n">
        <v>162399.79758963</v>
      </c>
      <c r="H17" t="n">
        <v>155360.982159512</v>
      </c>
      <c r="I17" t="n">
        <v>165722.411347789</v>
      </c>
      <c r="J17" t="n">
        <v>171904.628134202</v>
      </c>
      <c r="K17" t="n">
        <v>182695.031820646</v>
      </c>
      <c r="L17" t="n">
        <v>220191.672991139</v>
      </c>
      <c r="M17" t="n">
        <v>256156.276793105</v>
      </c>
      <c r="N17" t="n">
        <v>260277.360886851</v>
      </c>
      <c r="O17" t="n">
        <v>284780.94269204</v>
      </c>
      <c r="P17" t="n">
        <v>311915.343166163</v>
      </c>
      <c r="Q17" t="n">
        <v>350776.764301008</v>
      </c>
      <c r="R17" t="n">
        <v>398183.025247889</v>
      </c>
      <c r="S17" t="n">
        <v>444121.246616501</v>
      </c>
      <c r="T17" t="n">
        <v>795454.5498837</v>
      </c>
      <c r="U17" t="n">
        <v>902856.420992249</v>
      </c>
      <c r="V17" t="n">
        <v>997353.877411481</v>
      </c>
      <c r="W17" t="n">
        <v>997512.864643486</v>
      </c>
      <c r="X17" t="n">
        <v>892671.933843709</v>
      </c>
      <c r="Y17" t="n">
        <v>928985.086681845</v>
      </c>
      <c r="Z17" t="n">
        <v>1025697.13698817</v>
      </c>
      <c r="AA17" t="n">
        <v>697143.052010472</v>
      </c>
      <c r="AB17" t="n">
        <v>671687.339876679</v>
      </c>
      <c r="AC17" t="n">
        <v>635001.348002272</v>
      </c>
      <c r="AD17" t="n">
        <v>604812.087751887</v>
      </c>
      <c r="AE17" t="n">
        <v>551929</v>
      </c>
      <c r="AF17" t="n">
        <v>591475</v>
      </c>
    </row>
    <row r="18">
      <c r="A18" t="s">
        <v>34</v>
      </c>
      <c r="B18" t="s">
        <v>193</v>
      </c>
      <c r="C18" t="s">
        <v>129</v>
      </c>
      <c r="D18" t="s">
        <v>194</v>
      </c>
      <c r="E18" t="s">
        <v>130</v>
      </c>
      <c r="F18" t="n">
        <v>132671.583482516</v>
      </c>
      <c r="G18" t="n">
        <v>180868.124277511</v>
      </c>
      <c r="H18" t="n">
        <v>316296.512324556</v>
      </c>
      <c r="I18" t="n">
        <v>412266.884582105</v>
      </c>
      <c r="J18" t="n">
        <v>424839.036554997</v>
      </c>
      <c r="K18" t="n">
        <v>507599.272931088</v>
      </c>
      <c r="L18" t="n">
        <v>526594.321953478</v>
      </c>
      <c r="M18" t="n">
        <v>590875.746410987</v>
      </c>
      <c r="N18" t="n">
        <v>720347.472808757</v>
      </c>
      <c r="O18" t="n">
        <v>739803.950466445</v>
      </c>
      <c r="P18" t="n">
        <v>817657.456696435</v>
      </c>
      <c r="Q18" t="n">
        <v>986972.509692838</v>
      </c>
      <c r="R18" t="n">
        <v>1215299.23018646</v>
      </c>
      <c r="S18" t="n">
        <v>1117162.80085648</v>
      </c>
      <c r="T18" t="n">
        <v>808174.3649155</v>
      </c>
      <c r="U18" t="n">
        <v>1003442.38334245</v>
      </c>
      <c r="V18" t="n">
        <v>1002341.52279441</v>
      </c>
      <c r="W18" t="n">
        <v>1040560.36856805</v>
      </c>
      <c r="X18" t="n">
        <v>1229922.15233619</v>
      </c>
      <c r="Y18" t="n">
        <v>1428355.48441157</v>
      </c>
      <c r="Z18" t="n">
        <v>1703021.56752726</v>
      </c>
      <c r="AA18" t="n">
        <v>1843587.44538833</v>
      </c>
      <c r="AB18" t="n">
        <v>1831888.46900322</v>
      </c>
      <c r="AC18" t="n">
        <v>1808223.19756049</v>
      </c>
      <c r="AD18" t="n">
        <v>1861865.07781768</v>
      </c>
      <c r="AE18" t="n">
        <v>1594750</v>
      </c>
      <c r="AF18" t="n">
        <v>1569272</v>
      </c>
    </row>
    <row r="19">
      <c r="A19" t="s">
        <v>34</v>
      </c>
      <c r="B19" t="s">
        <v>195</v>
      </c>
      <c r="C19" t="s">
        <v>129</v>
      </c>
      <c r="D19" t="s">
        <v>196</v>
      </c>
      <c r="E19" t="s">
        <v>130</v>
      </c>
      <c r="F19" t="n">
        <v>157233.586067367</v>
      </c>
      <c r="G19" t="n">
        <v>156913.581125501</v>
      </c>
      <c r="H19" t="n">
        <v>177743.499290444</v>
      </c>
      <c r="I19" t="n">
        <v>191706.213320226</v>
      </c>
      <c r="J19" t="n">
        <v>194080.134081584</v>
      </c>
      <c r="K19" t="n">
        <v>214437.448222505</v>
      </c>
      <c r="L19" t="n">
        <v>244286.951944587</v>
      </c>
      <c r="M19" t="n">
        <v>277984.047140888</v>
      </c>
      <c r="N19" t="n">
        <v>274807.245561433</v>
      </c>
      <c r="O19" t="n">
        <v>284597.643324829</v>
      </c>
      <c r="P19" t="n">
        <v>289903.446965601</v>
      </c>
      <c r="Q19" t="n">
        <v>318055.866632868</v>
      </c>
      <c r="R19" t="n">
        <v>337112.573994407</v>
      </c>
      <c r="S19" t="n">
        <v>366837.017039548</v>
      </c>
      <c r="T19" t="n">
        <v>383043.745646107</v>
      </c>
      <c r="U19" t="n">
        <v>406835.970781507</v>
      </c>
      <c r="V19" t="n">
        <v>400534.327741997</v>
      </c>
      <c r="W19" t="n">
        <v>434932.093022415</v>
      </c>
      <c r="X19" t="n">
        <v>449055.223413865</v>
      </c>
      <c r="Y19" t="n">
        <v>453637.829116321</v>
      </c>
      <c r="Z19" t="n">
        <v>466535.890608154</v>
      </c>
      <c r="AA19" t="n">
        <v>489887.869785094</v>
      </c>
      <c r="AB19" t="n">
        <v>495175.585332002</v>
      </c>
      <c r="AC19" t="n">
        <v>547261.127594648</v>
      </c>
      <c r="AD19" t="n">
        <v>616655.168753431</v>
      </c>
      <c r="AE19" t="n">
        <v>598193</v>
      </c>
      <c r="AF19" t="n">
        <v>662634</v>
      </c>
    </row>
    <row r="20">
      <c r="A20" t="s">
        <v>34</v>
      </c>
      <c r="B20" t="s">
        <v>197</v>
      </c>
      <c r="C20" t="s">
        <v>129</v>
      </c>
      <c r="D20" t="s">
        <v>198</v>
      </c>
      <c r="E20" t="s">
        <v>130</v>
      </c>
      <c r="F20" t="n">
        <v>1022018.53663222</v>
      </c>
      <c r="G20" t="n">
        <v>1070576.2148694</v>
      </c>
      <c r="H20" t="n">
        <v>1115467.87765779</v>
      </c>
      <c r="I20" t="n">
        <v>1120007.21807723</v>
      </c>
      <c r="J20" t="n">
        <v>1100749.10662263</v>
      </c>
      <c r="K20" t="n">
        <v>1090113.00881436</v>
      </c>
      <c r="L20" t="n">
        <v>1026193.77165644</v>
      </c>
      <c r="M20" t="n">
        <v>989653.511281075</v>
      </c>
      <c r="N20" t="n">
        <v>835981.563842909</v>
      </c>
      <c r="O20" t="n">
        <v>862953.878893815</v>
      </c>
      <c r="P20" t="n">
        <v>725471.076577883</v>
      </c>
      <c r="Q20" t="n">
        <v>742318.255535777</v>
      </c>
      <c r="R20" t="n">
        <v>808898.148363265</v>
      </c>
      <c r="S20" t="n">
        <v>676940.392193524</v>
      </c>
      <c r="T20" t="n">
        <v>702748.718050941</v>
      </c>
      <c r="U20" t="n">
        <v>658430.858127273</v>
      </c>
      <c r="V20" t="n">
        <v>622078.481111698</v>
      </c>
      <c r="W20" t="n">
        <v>609480.469997324</v>
      </c>
      <c r="X20" t="n">
        <v>585360.639523998</v>
      </c>
      <c r="Y20" t="n">
        <v>608096.837727806</v>
      </c>
      <c r="Z20" t="n">
        <v>620645.383817765</v>
      </c>
      <c r="AA20" t="n">
        <v>722249.04662607</v>
      </c>
      <c r="AB20" t="n">
        <v>647380.33673494</v>
      </c>
      <c r="AC20" t="n">
        <v>623914.553425636</v>
      </c>
      <c r="AD20" t="n">
        <v>692878.030143763</v>
      </c>
      <c r="AE20" t="n">
        <v>675138</v>
      </c>
      <c r="AF20" t="n">
        <v>598062</v>
      </c>
    </row>
    <row r="21">
      <c r="A21" t="s">
        <v>34</v>
      </c>
      <c r="B21" t="s">
        <v>199</v>
      </c>
      <c r="C21" t="s">
        <v>129</v>
      </c>
      <c r="D21" t="s">
        <v>200</v>
      </c>
      <c r="E21" t="s">
        <v>130</v>
      </c>
      <c r="F21" t="n">
        <v>1294373.90459356</v>
      </c>
      <c r="G21" t="n">
        <v>1300995.90968757</v>
      </c>
      <c r="H21" t="n">
        <v>1323417.13500523</v>
      </c>
      <c r="I21" t="n">
        <v>1349695.25612761</v>
      </c>
      <c r="J21" t="n">
        <v>1342779.69482047</v>
      </c>
      <c r="K21" t="n">
        <v>1342231.98938041</v>
      </c>
      <c r="L21" t="n">
        <v>1283524.66217876</v>
      </c>
      <c r="M21" t="n">
        <v>1260848.5380589</v>
      </c>
      <c r="N21" t="n">
        <v>1118193.3550998</v>
      </c>
      <c r="O21" t="n">
        <v>1168477.08905497</v>
      </c>
      <c r="P21" t="n">
        <v>1056492.72336885</v>
      </c>
      <c r="Q21" t="n">
        <v>1076698.50327587</v>
      </c>
      <c r="R21" t="n">
        <v>1139133.15464187</v>
      </c>
      <c r="S21" t="n">
        <v>993258.181787709</v>
      </c>
      <c r="T21" t="n">
        <v>1026073.69777255</v>
      </c>
      <c r="U21" t="n">
        <v>986211.878683454</v>
      </c>
      <c r="V21" t="n">
        <v>937869.553308371</v>
      </c>
      <c r="W21" t="n">
        <v>897579.66448829</v>
      </c>
      <c r="X21" t="n">
        <v>865419.585706203</v>
      </c>
      <c r="Y21" t="n">
        <v>876308.538121202</v>
      </c>
      <c r="Z21" t="n">
        <v>908340.488712996</v>
      </c>
      <c r="AA21" t="n">
        <v>1037310.47220713</v>
      </c>
      <c r="AB21" t="n">
        <v>971202.024651989</v>
      </c>
      <c r="AC21" t="n">
        <v>942239.191055296</v>
      </c>
      <c r="AD21" t="n">
        <v>1028697.14537138</v>
      </c>
      <c r="AE21" t="n">
        <v>1000662</v>
      </c>
      <c r="AF21" t="n">
        <v>863512</v>
      </c>
    </row>
    <row r="22">
      <c r="A22" t="s">
        <v>34</v>
      </c>
      <c r="B22" t="s">
        <v>201</v>
      </c>
      <c r="C22" t="s">
        <v>129</v>
      </c>
      <c r="D22" t="s">
        <v>202</v>
      </c>
      <c r="E22" t="s">
        <v>130</v>
      </c>
      <c r="F22" t="n">
        <v>282184.939796056</v>
      </c>
      <c r="G22" t="n">
        <v>252458.128217278</v>
      </c>
      <c r="H22" t="n">
        <v>239328.146475442</v>
      </c>
      <c r="I22" t="n">
        <v>256985.64240581</v>
      </c>
      <c r="J22" t="n">
        <v>265938.206323132</v>
      </c>
      <c r="K22" t="n">
        <v>273913.086078561</v>
      </c>
      <c r="L22" t="n">
        <v>274042.707035587</v>
      </c>
      <c r="M22" t="n">
        <v>282340.43806487</v>
      </c>
      <c r="N22" t="n">
        <v>280738.716966579</v>
      </c>
      <c r="O22" t="n">
        <v>302281.323263694</v>
      </c>
      <c r="P22" t="n">
        <v>322387.806022293</v>
      </c>
      <c r="Q22" t="n">
        <v>325643.680950396</v>
      </c>
      <c r="R22" t="n">
        <v>325562.492941096</v>
      </c>
      <c r="S22" t="n">
        <v>312175.368633204</v>
      </c>
      <c r="T22" t="n">
        <v>318851.006289074</v>
      </c>
      <c r="U22" t="n">
        <v>326544.893733015</v>
      </c>
      <c r="V22" t="n">
        <v>315115.707770582</v>
      </c>
      <c r="W22" t="n">
        <v>287544.889195312</v>
      </c>
      <c r="X22" t="n">
        <v>279603.990118781</v>
      </c>
      <c r="Y22" t="n">
        <v>268167.453458481</v>
      </c>
      <c r="Z22" t="n">
        <v>287495.60932517</v>
      </c>
      <c r="AA22" t="n">
        <v>314899.414407383</v>
      </c>
      <c r="AB22" t="n">
        <v>323613.720697029</v>
      </c>
      <c r="AC22" t="n">
        <v>317798.175150281</v>
      </c>
      <c r="AD22" t="n">
        <v>335834.451613308</v>
      </c>
      <c r="AE22" t="n">
        <v>325524</v>
      </c>
      <c r="AF22" t="n">
        <v>265450</v>
      </c>
    </row>
    <row r="23">
      <c r="A23" t="s">
        <v>34</v>
      </c>
      <c r="B23" t="s">
        <v>203</v>
      </c>
      <c r="C23" t="s">
        <v>129</v>
      </c>
      <c r="D23" t="s">
        <v>204</v>
      </c>
      <c r="E23" t="s">
        <v>130</v>
      </c>
      <c r="F23" t="n">
        <v>1341040.96536946</v>
      </c>
      <c r="G23" t="n">
        <v>1246328.24384633</v>
      </c>
      <c r="H23" t="n">
        <v>1330585.10275829</v>
      </c>
      <c r="I23" t="n">
        <v>1467744.3543423</v>
      </c>
      <c r="J23" t="n">
        <v>1552482.66070247</v>
      </c>
      <c r="K23" t="n">
        <v>1714860.320405</v>
      </c>
      <c r="L23" t="n">
        <v>1841866.52060394</v>
      </c>
      <c r="M23" t="n">
        <v>2088703.69027124</v>
      </c>
      <c r="N23" t="n">
        <v>2082034.61068847</v>
      </c>
      <c r="O23" t="n">
        <v>2110993.11736825</v>
      </c>
      <c r="P23" t="n">
        <v>2343297.97222303</v>
      </c>
      <c r="Q23" t="n">
        <v>2251210.30831935</v>
      </c>
      <c r="R23" t="n">
        <v>2052987.88084435</v>
      </c>
      <c r="S23" t="n">
        <v>1849105.42320286</v>
      </c>
      <c r="T23" t="n">
        <v>1777610.92485595</v>
      </c>
      <c r="U23" t="n">
        <v>1590768.80281132</v>
      </c>
      <c r="V23" t="n">
        <v>1626004.5427106</v>
      </c>
      <c r="W23" t="n">
        <v>1546351.83844472</v>
      </c>
      <c r="X23" t="n">
        <v>1649567.7811291</v>
      </c>
      <c r="Y23" t="n">
        <v>1790369.95111744</v>
      </c>
      <c r="Z23" t="n">
        <v>1904981.59355662</v>
      </c>
      <c r="AA23" t="n">
        <v>1620765.48404648</v>
      </c>
      <c r="AB23" t="n">
        <v>1965667.26135329</v>
      </c>
      <c r="AC23" t="n">
        <v>2257999.18860796</v>
      </c>
      <c r="AD23" t="n">
        <v>2584673.38853501</v>
      </c>
      <c r="AE23" t="n">
        <v>2352667</v>
      </c>
      <c r="AF23" t="n">
        <v>2587210</v>
      </c>
    </row>
    <row r="24">
      <c r="A24" t="s">
        <v>34</v>
      </c>
      <c r="B24" t="s">
        <v>205</v>
      </c>
      <c r="C24" t="s">
        <v>129</v>
      </c>
      <c r="D24" t="s">
        <v>206</v>
      </c>
      <c r="E24" t="s">
        <v>130</v>
      </c>
      <c r="F24" t="n">
        <v>1960545.36052602</v>
      </c>
      <c r="G24" t="n">
        <v>1965509.71502929</v>
      </c>
      <c r="H24" t="n">
        <v>2060601.93278785</v>
      </c>
      <c r="I24" t="n">
        <v>2124175.09124495</v>
      </c>
      <c r="J24" t="n">
        <v>2153465.27970089</v>
      </c>
      <c r="K24" t="n">
        <v>2404959.09061714</v>
      </c>
      <c r="L24" t="n">
        <v>2415996.454047</v>
      </c>
      <c r="M24" t="n">
        <v>2708149.61934401</v>
      </c>
      <c r="N24" t="n">
        <v>2907691.99622823</v>
      </c>
      <c r="O24" t="n">
        <v>3008038.00807108</v>
      </c>
      <c r="P24" t="n">
        <v>3281789.47345203</v>
      </c>
      <c r="Q24" t="n">
        <v>3586578.1158254</v>
      </c>
      <c r="R24" t="n">
        <v>3502628.16804222</v>
      </c>
      <c r="S24" t="n">
        <v>3528093.33715646</v>
      </c>
      <c r="T24" t="n">
        <v>2883973.27966062</v>
      </c>
      <c r="U24" t="n">
        <v>2841582.59176857</v>
      </c>
      <c r="V24" t="n">
        <v>2886857.32872068</v>
      </c>
      <c r="W24" t="n">
        <v>2873843.40525879</v>
      </c>
      <c r="X24" t="n">
        <v>3130734.83756149</v>
      </c>
      <c r="Y24" t="n">
        <v>3322463.55756883</v>
      </c>
      <c r="Z24" t="n">
        <v>3404700.85799498</v>
      </c>
      <c r="AA24" t="n">
        <v>3497200.8563238</v>
      </c>
      <c r="AB24" t="n">
        <v>3716957.36128489</v>
      </c>
      <c r="AC24" t="n">
        <v>4149653.32410663</v>
      </c>
      <c r="AD24" t="n">
        <v>4319702.34176367</v>
      </c>
      <c r="AE24" t="n">
        <v>4443057</v>
      </c>
      <c r="AF24" t="n">
        <v>4983397</v>
      </c>
    </row>
    <row r="25">
      <c r="A25" t="s">
        <v>34</v>
      </c>
      <c r="B25" t="s">
        <v>207</v>
      </c>
      <c r="C25" t="s">
        <v>129</v>
      </c>
      <c r="D25" t="s">
        <v>208</v>
      </c>
      <c r="E25" t="s">
        <v>130</v>
      </c>
      <c r="F25" t="n">
        <v>91780.0085436714</v>
      </c>
      <c r="G25" t="n">
        <v>110235.698570855</v>
      </c>
      <c r="H25" t="n">
        <v>116412.056055446</v>
      </c>
      <c r="I25" t="n">
        <v>133802.687306046</v>
      </c>
      <c r="J25" t="n">
        <v>137379.3262754</v>
      </c>
      <c r="K25" t="n">
        <v>158510.985248077</v>
      </c>
      <c r="L25" t="n">
        <v>157643.662887126</v>
      </c>
      <c r="M25" t="n">
        <v>190396.174524929</v>
      </c>
      <c r="N25" t="n">
        <v>207287.885630611</v>
      </c>
      <c r="O25" t="n">
        <v>202539.170942184</v>
      </c>
      <c r="P25" t="n">
        <v>208559.707032747</v>
      </c>
      <c r="Q25" t="n">
        <v>230656.923895605</v>
      </c>
      <c r="R25" t="n">
        <v>252150.251991769</v>
      </c>
      <c r="S25" t="n">
        <v>269273.261290676</v>
      </c>
      <c r="T25" t="n">
        <v>219299.100692527</v>
      </c>
      <c r="U25" t="n">
        <v>193735.343003395</v>
      </c>
      <c r="V25" t="n">
        <v>237133.111903281</v>
      </c>
      <c r="W25" t="n">
        <v>260676.581174326</v>
      </c>
      <c r="X25" t="n">
        <v>289937.276521939</v>
      </c>
      <c r="Y25" t="n">
        <v>320805.960896784</v>
      </c>
      <c r="Z25" t="n">
        <v>324254.737735055</v>
      </c>
      <c r="AA25" t="n">
        <v>341496.229551646</v>
      </c>
      <c r="AB25" t="n">
        <v>382160.05439705</v>
      </c>
      <c r="AC25" t="n">
        <v>472260.035104755</v>
      </c>
      <c r="AD25" t="n">
        <v>509168.075137509</v>
      </c>
      <c r="AE25" t="n">
        <v>476158</v>
      </c>
      <c r="AF25" t="n">
        <v>542950</v>
      </c>
    </row>
    <row r="26">
      <c r="A26" t="s">
        <v>34</v>
      </c>
      <c r="B26" t="s">
        <v>209</v>
      </c>
      <c r="C26" t="s">
        <v>129</v>
      </c>
      <c r="D26" t="s">
        <v>210</v>
      </c>
      <c r="E26" t="s">
        <v>130</v>
      </c>
      <c r="F26" t="n">
        <v>1008929.19069495</v>
      </c>
      <c r="G26" t="n">
        <v>1067687.71836101</v>
      </c>
      <c r="H26" t="n">
        <v>1195886.44984116</v>
      </c>
      <c r="I26" t="n">
        <v>1262732.59320834</v>
      </c>
      <c r="J26" t="n">
        <v>1274103.20287195</v>
      </c>
      <c r="K26" t="n">
        <v>1439275.94473216</v>
      </c>
      <c r="L26" t="n">
        <v>1443508.97403494</v>
      </c>
      <c r="M26" t="n">
        <v>1617462.28118348</v>
      </c>
      <c r="N26" t="n">
        <v>1702671.34044231</v>
      </c>
      <c r="O26" t="n">
        <v>1806110.12160009</v>
      </c>
      <c r="P26" t="n">
        <v>1988871.41071784</v>
      </c>
      <c r="Q26" t="n">
        <v>2214793.96649859</v>
      </c>
      <c r="R26" t="n">
        <v>2130329.30511998</v>
      </c>
      <c r="S26" t="n">
        <v>2088233.9441256</v>
      </c>
      <c r="T26" t="n">
        <v>1591100.92570616</v>
      </c>
      <c r="U26" t="n">
        <v>1576568.66533451</v>
      </c>
      <c r="V26" t="n">
        <v>1513049.70533565</v>
      </c>
      <c r="W26" t="n">
        <v>1463138.26862818</v>
      </c>
      <c r="X26" t="n">
        <v>1571744.63550646</v>
      </c>
      <c r="Y26" t="n">
        <v>1652656.89606855</v>
      </c>
      <c r="Z26" t="n">
        <v>1715754.73509208</v>
      </c>
      <c r="AA26" t="n">
        <v>1736524.70416719</v>
      </c>
      <c r="AB26" t="n">
        <v>1769000.06722623</v>
      </c>
      <c r="AC26" t="n">
        <v>1939638.0355226</v>
      </c>
      <c r="AD26" t="n">
        <v>1944099.1346636</v>
      </c>
      <c r="AE26" t="n">
        <v>2146087</v>
      </c>
      <c r="AF26" t="n">
        <v>2420958</v>
      </c>
    </row>
    <row r="27">
      <c r="A27" t="s">
        <v>34</v>
      </c>
      <c r="B27" t="s">
        <v>211</v>
      </c>
      <c r="C27" t="s">
        <v>129</v>
      </c>
      <c r="D27" t="s">
        <v>212</v>
      </c>
      <c r="E27" t="s">
        <v>130</v>
      </c>
      <c r="F27" t="n">
        <v>879017.057049023</v>
      </c>
      <c r="G27" t="n">
        <v>804603.961176155</v>
      </c>
      <c r="H27" t="n">
        <v>788960.272425206</v>
      </c>
      <c r="I27" t="n">
        <v>766398.245286325</v>
      </c>
      <c r="J27" t="n">
        <v>778282.74580629</v>
      </c>
      <c r="K27" t="n">
        <v>849557.826590695</v>
      </c>
      <c r="L27" t="n">
        <v>857955.101487374</v>
      </c>
      <c r="M27" t="n">
        <v>937836.759430181</v>
      </c>
      <c r="N27" t="n">
        <v>1026443.47358085</v>
      </c>
      <c r="O27" t="n">
        <v>1047997.20019506</v>
      </c>
      <c r="P27" t="n">
        <v>1149395.68570138</v>
      </c>
      <c r="Q27" t="n">
        <v>1221758.08858498</v>
      </c>
      <c r="R27" t="n">
        <v>1177442.66452023</v>
      </c>
      <c r="S27" t="n">
        <v>1207129.94215276</v>
      </c>
      <c r="T27" t="n">
        <v>1084005.44604189</v>
      </c>
      <c r="U27" t="n">
        <v>1092319.5532529</v>
      </c>
      <c r="V27" t="n">
        <v>1145512.46580944</v>
      </c>
      <c r="W27" t="n">
        <v>1154233.63203443</v>
      </c>
      <c r="X27" t="n">
        <v>1274552.01587708</v>
      </c>
      <c r="Y27" t="n">
        <v>1354340.61196996</v>
      </c>
      <c r="Z27" t="n">
        <v>1371034.13865487</v>
      </c>
      <c r="AA27" t="n">
        <v>1424462.1941402</v>
      </c>
      <c r="AB27" t="n">
        <v>1566808.2227703</v>
      </c>
      <c r="AC27" t="n">
        <v>1734428.53148056</v>
      </c>
      <c r="AD27" t="n">
        <v>1860395.91977009</v>
      </c>
      <c r="AE27" t="n">
        <v>1820812</v>
      </c>
      <c r="AF27" t="n">
        <v>2019489</v>
      </c>
    </row>
    <row r="28">
      <c r="A28" t="s">
        <v>34</v>
      </c>
      <c r="B28" t="s">
        <v>213</v>
      </c>
      <c r="C28" t="s">
        <v>129</v>
      </c>
      <c r="D28" t="s">
        <v>214</v>
      </c>
      <c r="E28" t="s">
        <v>130</v>
      </c>
      <c r="F28" t="n">
        <v>1492937.48464397</v>
      </c>
      <c r="G28" t="n">
        <v>1406142.78342709</v>
      </c>
      <c r="H28" t="n">
        <v>1527835.19863724</v>
      </c>
      <c r="I28" t="n">
        <v>1518146.23642558</v>
      </c>
      <c r="J28" t="n">
        <v>1592864.59523908</v>
      </c>
      <c r="K28" t="n">
        <v>1629519.8773303</v>
      </c>
      <c r="L28" t="n">
        <v>1749218.43808134</v>
      </c>
      <c r="M28" t="n">
        <v>1787540.87728421</v>
      </c>
      <c r="N28" t="n">
        <v>1750406.1487873</v>
      </c>
      <c r="O28" t="n">
        <v>1850851.98571174</v>
      </c>
      <c r="P28" t="n">
        <v>1946341.46309073</v>
      </c>
      <c r="Q28" t="n">
        <v>2036539.49926059</v>
      </c>
      <c r="R28" t="n">
        <v>2121064.08630906</v>
      </c>
      <c r="S28" t="n">
        <v>2039314.40291843</v>
      </c>
      <c r="T28" t="n">
        <v>1896071.72110093</v>
      </c>
      <c r="U28" t="n">
        <v>1978781.36433535</v>
      </c>
      <c r="V28" t="n">
        <v>1999276.08906975</v>
      </c>
      <c r="W28" t="n">
        <v>2052445.43460723</v>
      </c>
      <c r="X28" t="n">
        <v>2047040.28727537</v>
      </c>
      <c r="Y28" t="n">
        <v>2109132.54807247</v>
      </c>
      <c r="Z28" t="n">
        <v>2135637.81067545</v>
      </c>
      <c r="AA28" t="n">
        <v>2245386.26365928</v>
      </c>
      <c r="AB28" t="n">
        <v>2291401.9717083</v>
      </c>
      <c r="AC28" t="n">
        <v>2447642.75980666</v>
      </c>
      <c r="AD28" t="n">
        <v>2619348.45413193</v>
      </c>
      <c r="AE28" t="n">
        <v>2375878</v>
      </c>
      <c r="AF28" t="n">
        <v>2489948</v>
      </c>
    </row>
    <row r="29">
      <c r="A29" t="s">
        <v>34</v>
      </c>
      <c r="B29" t="s">
        <v>215</v>
      </c>
      <c r="C29" t="s">
        <v>129</v>
      </c>
      <c r="D29" t="s">
        <v>216</v>
      </c>
      <c r="E29" t="s">
        <v>130</v>
      </c>
      <c r="F29" t="n">
        <v>1225875.40249898</v>
      </c>
      <c r="G29" t="n">
        <v>1127048.99561801</v>
      </c>
      <c r="H29" t="n">
        <v>1281938.22869224</v>
      </c>
      <c r="I29" t="n">
        <v>1281827.48567729</v>
      </c>
      <c r="J29" t="n">
        <v>1336333.98319477</v>
      </c>
      <c r="K29" t="n">
        <v>1371311.6340027</v>
      </c>
      <c r="L29" t="n">
        <v>1414376.2579401</v>
      </c>
      <c r="M29" t="n">
        <v>1380940.41146836</v>
      </c>
      <c r="N29" t="n">
        <v>1361610.46141114</v>
      </c>
      <c r="O29" t="n">
        <v>1418279.08933031</v>
      </c>
      <c r="P29" t="n">
        <v>1416147.392656</v>
      </c>
      <c r="Q29" t="n">
        <v>1236555.33532734</v>
      </c>
      <c r="R29" t="n">
        <v>1237331.34469339</v>
      </c>
      <c r="S29" t="n">
        <v>1001576.12735475</v>
      </c>
      <c r="T29" t="n">
        <v>884175.957510268</v>
      </c>
      <c r="U29" t="n">
        <v>934061.41303116</v>
      </c>
      <c r="V29" t="n">
        <v>1002894.03902371</v>
      </c>
      <c r="W29" t="n">
        <v>997226.242442784</v>
      </c>
      <c r="X29" t="n">
        <v>1047456.86126412</v>
      </c>
      <c r="Y29" t="n">
        <v>1069327.41781344</v>
      </c>
      <c r="Z29" t="n">
        <v>1104328.82157443</v>
      </c>
      <c r="AA29" t="n">
        <v>1180018.79804407</v>
      </c>
      <c r="AB29" t="n">
        <v>1205605.22785425</v>
      </c>
      <c r="AC29" t="n">
        <v>1286372.86611753</v>
      </c>
      <c r="AD29" t="n">
        <v>1342882.90877446</v>
      </c>
      <c r="AE29" t="n">
        <v>1312424</v>
      </c>
      <c r="AF29" t="n">
        <v>1329841</v>
      </c>
    </row>
    <row r="30">
      <c r="A30" t="s">
        <v>34</v>
      </c>
      <c r="B30" t="s">
        <v>217</v>
      </c>
      <c r="C30" t="s">
        <v>129</v>
      </c>
      <c r="D30" t="s">
        <v>218</v>
      </c>
      <c r="E30" t="s">
        <v>130</v>
      </c>
      <c r="F30" t="n">
        <v>97485.6273711097</v>
      </c>
      <c r="G30" t="n">
        <v>127524.154018107</v>
      </c>
      <c r="H30" t="n">
        <v>23438.2115717648</v>
      </c>
      <c r="I30" t="n">
        <v>21143.969377266</v>
      </c>
      <c r="J30" t="n">
        <v>11223.3958424267</v>
      </c>
      <c r="K30" t="n">
        <v>9790.70777192634</v>
      </c>
      <c r="L30" t="n">
        <v>11574.8412466756</v>
      </c>
      <c r="M30" t="n">
        <v>10119.2172717149</v>
      </c>
      <c r="N30" t="n">
        <v>10527.8452266018</v>
      </c>
      <c r="O30" t="n">
        <v>8824.85568723154</v>
      </c>
      <c r="P30" t="n">
        <v>14677.7041905401</v>
      </c>
      <c r="Q30" t="n">
        <v>13275.4326542836</v>
      </c>
      <c r="R30" t="n">
        <v>12506.0609890922</v>
      </c>
      <c r="S30" t="n">
        <v>11165.4562503814</v>
      </c>
      <c r="T30" t="n">
        <v>7445.67685299405</v>
      </c>
      <c r="U30" t="n">
        <v>8647.21511378181</v>
      </c>
      <c r="V30" t="n">
        <v>5888.25354642958</v>
      </c>
      <c r="W30" t="n">
        <v>11105.1993531425</v>
      </c>
      <c r="X30" t="n">
        <v>9090.92753642685</v>
      </c>
      <c r="Y30" t="n">
        <v>6075.46898294608</v>
      </c>
      <c r="Z30" t="n">
        <v>6606.73196575975</v>
      </c>
      <c r="AA30" t="n">
        <v>7348.47047083682</v>
      </c>
      <c r="AB30" t="n">
        <v>8482.03014930654</v>
      </c>
      <c r="AC30" t="n">
        <v>7204.24675917672</v>
      </c>
      <c r="AD30" t="n">
        <v>4042.88953152111</v>
      </c>
      <c r="AE30" t="n">
        <v>5058</v>
      </c>
      <c r="AF30" t="n">
        <v>4857</v>
      </c>
    </row>
    <row r="31">
      <c r="A31" t="s">
        <v>34</v>
      </c>
      <c r="B31" t="s">
        <v>219</v>
      </c>
      <c r="C31" t="s">
        <v>129</v>
      </c>
      <c r="D31" t="s">
        <v>220</v>
      </c>
      <c r="E31" t="s">
        <v>130</v>
      </c>
      <c r="F31" t="n">
        <v>31064.4255862286</v>
      </c>
      <c r="G31" t="n">
        <v>32685.5373751726</v>
      </c>
      <c r="H31" t="n">
        <v>50057.6296154576</v>
      </c>
      <c r="I31" t="n">
        <v>36323.5298183405</v>
      </c>
      <c r="J31" t="n">
        <v>38711.0736905673</v>
      </c>
      <c r="K31" t="n">
        <v>23291.3824608344</v>
      </c>
      <c r="L31" t="n">
        <v>16832.9213592305</v>
      </c>
      <c r="M31" t="n">
        <v>23180.3397850966</v>
      </c>
      <c r="N31" t="n">
        <v>25518.4977699308</v>
      </c>
      <c r="O31" t="n">
        <v>28393.2869410194</v>
      </c>
      <c r="P31" t="n">
        <v>33081.2093606462</v>
      </c>
      <c r="Q31" t="n">
        <v>45247.6593525912</v>
      </c>
      <c r="R31" t="n">
        <v>70414.7978888675</v>
      </c>
      <c r="S31" t="n">
        <v>49075.3236839338</v>
      </c>
      <c r="T31" t="n">
        <v>101792.779230585</v>
      </c>
      <c r="U31" t="n">
        <v>94433.0753225076</v>
      </c>
      <c r="V31" t="n">
        <v>81881.5389130344</v>
      </c>
      <c r="W31" t="n">
        <v>88838.1030098246</v>
      </c>
      <c r="X31" t="n">
        <v>82887.6857848025</v>
      </c>
      <c r="Y31" t="n">
        <v>79489.2925704213</v>
      </c>
      <c r="Z31" t="n">
        <v>110246.758717265</v>
      </c>
      <c r="AA31" t="n">
        <v>131445.065262355</v>
      </c>
      <c r="AB31" t="n">
        <v>153253.403803953</v>
      </c>
      <c r="AC31" t="n">
        <v>152280.500211024</v>
      </c>
      <c r="AD31" t="n">
        <v>196210.611787003</v>
      </c>
      <c r="AE31" t="n">
        <v>61581</v>
      </c>
      <c r="AF31" t="n">
        <v>53355</v>
      </c>
    </row>
    <row r="32">
      <c r="A32" t="s">
        <v>34</v>
      </c>
      <c r="B32" t="s">
        <v>221</v>
      </c>
      <c r="C32" t="s">
        <v>129</v>
      </c>
      <c r="D32" t="s">
        <v>222</v>
      </c>
      <c r="E32" t="s">
        <v>130</v>
      </c>
      <c r="F32" t="n">
        <v>155625.848147463</v>
      </c>
      <c r="G32" t="n">
        <v>175174.345932479</v>
      </c>
      <c r="H32" t="n">
        <v>182494.272598769</v>
      </c>
      <c r="I32" t="n">
        <v>178666.926856419</v>
      </c>
      <c r="J32" t="n">
        <v>204891.764956712</v>
      </c>
      <c r="K32" t="n">
        <v>214811.812492106</v>
      </c>
      <c r="L32" t="n">
        <v>217133.598737466</v>
      </c>
      <c r="M32" t="n">
        <v>245594.255367018</v>
      </c>
      <c r="N32" t="n">
        <v>257104.880499533</v>
      </c>
      <c r="O32" t="n">
        <v>279383.792799077</v>
      </c>
      <c r="P32" t="n">
        <v>332589.341180299</v>
      </c>
      <c r="Q32" t="n">
        <v>502463.615536635</v>
      </c>
      <c r="R32" t="n">
        <v>569583.100652769</v>
      </c>
      <c r="S32" t="n">
        <v>739850.677933236</v>
      </c>
      <c r="T32" t="n">
        <v>710004.06316953</v>
      </c>
      <c r="U32" t="n">
        <v>745145.335353062</v>
      </c>
      <c r="V32" t="n">
        <v>709889.342921291</v>
      </c>
      <c r="W32" t="n">
        <v>760754.816888885</v>
      </c>
      <c r="X32" t="n">
        <v>718141.331101019</v>
      </c>
      <c r="Y32" t="n">
        <v>760319.039175638</v>
      </c>
      <c r="Z32" t="n">
        <v>705736.76064621</v>
      </c>
      <c r="AA32" t="n">
        <v>705229.842048961</v>
      </c>
      <c r="AB32" t="n">
        <v>702431.758371498</v>
      </c>
      <c r="AC32" t="n">
        <v>774101.896237719</v>
      </c>
      <c r="AD32" t="n">
        <v>814965.262068571</v>
      </c>
      <c r="AE32" t="n">
        <v>788648</v>
      </c>
      <c r="AF32" t="n">
        <v>825122</v>
      </c>
    </row>
    <row r="33">
      <c r="A33" t="s">
        <v>34</v>
      </c>
      <c r="B33" t="s">
        <v>223</v>
      </c>
      <c r="C33" t="s">
        <v>129</v>
      </c>
      <c r="D33" t="s">
        <v>224</v>
      </c>
      <c r="E33" t="s">
        <v>130</v>
      </c>
      <c r="F33" t="n">
        <v>113762.674410483</v>
      </c>
      <c r="G33" t="n">
        <v>100703.527170463</v>
      </c>
      <c r="H33" t="n">
        <v>101441.089567598</v>
      </c>
      <c r="I33" t="n">
        <v>104914.554358329</v>
      </c>
      <c r="J33" t="n">
        <v>105948.279041912</v>
      </c>
      <c r="K33" t="n">
        <v>113639.253063592</v>
      </c>
      <c r="L33" t="n">
        <v>165378.84779371</v>
      </c>
      <c r="M33" t="n">
        <v>180114.016680127</v>
      </c>
      <c r="N33" t="n">
        <v>154609.842720862</v>
      </c>
      <c r="O33" t="n">
        <v>168820.866879181</v>
      </c>
      <c r="P33" t="n">
        <v>185273.56139309</v>
      </c>
      <c r="Q33" t="n">
        <v>206263.690833558</v>
      </c>
      <c r="R33" t="n">
        <v>208250.910754258</v>
      </c>
      <c r="S33" t="n">
        <v>228644.478375461</v>
      </c>
      <c r="T33" t="n">
        <v>211805.434211742</v>
      </c>
      <c r="U33" t="n">
        <v>209825.551374668</v>
      </c>
      <c r="V33" t="n">
        <v>203655.680295595</v>
      </c>
      <c r="W33" t="n">
        <v>197132.728511428</v>
      </c>
      <c r="X33" t="n">
        <v>195075.328280749</v>
      </c>
      <c r="Y33" t="n">
        <v>198476.914301874</v>
      </c>
      <c r="Z33" t="n">
        <v>197292.443625691</v>
      </c>
      <c r="AA33" t="n">
        <v>198617.476513668</v>
      </c>
      <c r="AB33" t="n">
        <v>185701.610698706</v>
      </c>
      <c r="AC33" t="n">
        <v>194400.513812774</v>
      </c>
      <c r="AD33" t="n">
        <v>206423.512299616</v>
      </c>
      <c r="AE33" t="n">
        <v>208167</v>
      </c>
      <c r="AF33" t="n">
        <v>276773</v>
      </c>
    </row>
    <row r="34">
      <c r="A34" t="s">
        <v>34</v>
      </c>
      <c r="B34" t="s">
        <v>225</v>
      </c>
      <c r="C34" t="s">
        <v>129</v>
      </c>
      <c r="D34" t="s">
        <v>226</v>
      </c>
      <c r="E34" t="s">
        <v>130</v>
      </c>
      <c r="F34" t="n">
        <v>762159.042935461</v>
      </c>
      <c r="G34" t="n">
        <v>744760.15311558</v>
      </c>
      <c r="H34" t="n">
        <v>759100.856236089</v>
      </c>
      <c r="I34" t="n">
        <v>775647.882066143</v>
      </c>
      <c r="J34" t="n">
        <v>794724.628396022</v>
      </c>
      <c r="K34" t="n">
        <v>758108.96872998</v>
      </c>
      <c r="L34" t="n">
        <v>740289.03328676</v>
      </c>
      <c r="M34" t="n">
        <v>708624.387854142</v>
      </c>
      <c r="N34" t="n">
        <v>651706.623496198</v>
      </c>
      <c r="O34" t="n">
        <v>678207.430789814</v>
      </c>
      <c r="P34" t="n">
        <v>681573.447817196</v>
      </c>
      <c r="Q34" t="n">
        <v>698246.995753464</v>
      </c>
      <c r="R34" t="n">
        <v>761487.621870928</v>
      </c>
      <c r="S34" t="n">
        <v>707841.227467036</v>
      </c>
      <c r="T34" t="n">
        <v>669449.593691481</v>
      </c>
      <c r="U34" t="n">
        <v>613054.588937296</v>
      </c>
      <c r="V34" t="n">
        <v>626378.45232265</v>
      </c>
      <c r="W34" t="n">
        <v>632118.537983003</v>
      </c>
      <c r="X34" t="n">
        <v>608046.447861561</v>
      </c>
      <c r="Y34" t="n">
        <v>702704.695112248</v>
      </c>
      <c r="Z34" t="n">
        <v>730379.107582877</v>
      </c>
      <c r="AA34" t="n">
        <v>741082.758710519</v>
      </c>
      <c r="AB34" t="n">
        <v>824711.302073905</v>
      </c>
      <c r="AC34" t="n">
        <v>885797.886683911</v>
      </c>
      <c r="AD34" t="n">
        <v>935607.017459463</v>
      </c>
      <c r="AE34" t="n">
        <v>520623</v>
      </c>
      <c r="AF34" t="n">
        <v>757622</v>
      </c>
    </row>
    <row r="35">
      <c r="A35" t="s">
        <v>34</v>
      </c>
      <c r="B35" t="s">
        <v>227</v>
      </c>
      <c r="C35" t="s">
        <v>129</v>
      </c>
      <c r="D35" t="s">
        <v>228</v>
      </c>
      <c r="E35" t="s">
        <v>130</v>
      </c>
      <c r="F35" t="n">
        <v>368397.439090633</v>
      </c>
      <c r="G35" t="n">
        <v>434168.165489101</v>
      </c>
      <c r="H35" t="n">
        <v>506443.961541101</v>
      </c>
      <c r="I35" t="n">
        <v>576496.684078899</v>
      </c>
      <c r="J35" t="n">
        <v>631597.697774468</v>
      </c>
      <c r="K35" t="n">
        <v>677387.441233135</v>
      </c>
      <c r="L35" t="n">
        <v>724889.578209295</v>
      </c>
      <c r="M35" t="n">
        <v>833773.21163088</v>
      </c>
      <c r="N35" t="n">
        <v>922405.177959624</v>
      </c>
      <c r="O35" t="n">
        <v>947518.375363362</v>
      </c>
      <c r="P35" t="n">
        <v>1014101.78552225</v>
      </c>
      <c r="Q35" t="n">
        <v>1068450.42918382</v>
      </c>
      <c r="R35" t="n">
        <v>1113267.59440341</v>
      </c>
      <c r="S35" t="n">
        <v>1135567.82324871</v>
      </c>
      <c r="T35" t="n">
        <v>1205728.47682794</v>
      </c>
      <c r="U35" t="n">
        <v>1212772.4233739</v>
      </c>
      <c r="V35" t="n">
        <v>1263758.93714813</v>
      </c>
      <c r="W35" t="n">
        <v>1281838.14064694</v>
      </c>
      <c r="X35" t="n">
        <v>1320566.46290117</v>
      </c>
      <c r="Y35" t="n">
        <v>1382057.00666226</v>
      </c>
      <c r="Z35" t="n">
        <v>1398444.46069316</v>
      </c>
      <c r="AA35" t="n">
        <v>1470390.31674567</v>
      </c>
      <c r="AB35" t="n">
        <v>1621917.84996614</v>
      </c>
      <c r="AC35" t="n">
        <v>1812226.18507849</v>
      </c>
      <c r="AD35" t="n">
        <v>2002733.07997849</v>
      </c>
      <c r="AE35" t="n">
        <v>2135431</v>
      </c>
      <c r="AF35" t="n">
        <v>2539445</v>
      </c>
    </row>
    <row r="36">
      <c r="A36" t="s">
        <v>34</v>
      </c>
      <c r="B36" t="s">
        <v>229</v>
      </c>
      <c r="C36" t="s">
        <v>129</v>
      </c>
      <c r="D36" t="s">
        <v>230</v>
      </c>
      <c r="E36" t="s">
        <v>130</v>
      </c>
      <c r="F36" t="n">
        <v>199127.113439962</v>
      </c>
      <c r="G36" t="n">
        <v>195772.795870596</v>
      </c>
      <c r="H36" t="n">
        <v>228177.131897541</v>
      </c>
      <c r="I36" t="n">
        <v>238460.855776121</v>
      </c>
      <c r="J36" t="n">
        <v>261219.218329756</v>
      </c>
      <c r="K36" t="n">
        <v>288677.318844214</v>
      </c>
      <c r="L36" t="n">
        <v>309326.472854926</v>
      </c>
      <c r="M36" t="n">
        <v>394200.511871093</v>
      </c>
      <c r="N36" t="n">
        <v>436569.242380698</v>
      </c>
      <c r="O36" t="n">
        <v>402460.232257438</v>
      </c>
      <c r="P36" t="n">
        <v>402545.127816811</v>
      </c>
      <c r="Q36" t="n">
        <v>436351.5316469</v>
      </c>
      <c r="R36" t="n">
        <v>465403.015929538</v>
      </c>
      <c r="S36" t="n">
        <v>395108.305779009</v>
      </c>
      <c r="T36" t="n">
        <v>403813.508067574</v>
      </c>
      <c r="U36" t="n">
        <v>444914.029937301</v>
      </c>
      <c r="V36" t="n">
        <v>420098.689630858</v>
      </c>
      <c r="W36" t="n">
        <v>402592.347817179</v>
      </c>
      <c r="X36" t="n">
        <v>404571.104997824</v>
      </c>
      <c r="Y36" t="n">
        <v>378346.284860073</v>
      </c>
      <c r="Z36" t="n">
        <v>327167.664213083</v>
      </c>
      <c r="AA36" t="n">
        <v>308787.203156643</v>
      </c>
      <c r="AB36" t="n">
        <v>367775.204256747</v>
      </c>
      <c r="AC36" t="n">
        <v>364469.26053736</v>
      </c>
      <c r="AD36" t="n">
        <v>365030.758611622</v>
      </c>
      <c r="AE36" t="n">
        <v>342113</v>
      </c>
      <c r="AF36" t="n">
        <v>395871</v>
      </c>
    </row>
    <row r="37">
      <c r="A37" t="s">
        <v>34</v>
      </c>
      <c r="B37" t="s">
        <v>231</v>
      </c>
      <c r="C37" t="s">
        <v>129</v>
      </c>
      <c r="D37" t="s">
        <v>232</v>
      </c>
      <c r="E37" t="s">
        <v>130</v>
      </c>
      <c r="F37" t="n">
        <v>95423.0768054104</v>
      </c>
      <c r="G37" t="n">
        <v>118770.714158625</v>
      </c>
      <c r="H37" t="n">
        <v>136813.750251057</v>
      </c>
      <c r="I37" t="n">
        <v>152290.31447828</v>
      </c>
      <c r="J37" t="n">
        <v>161935.141055908</v>
      </c>
      <c r="K37" t="n">
        <v>168879.056961414</v>
      </c>
      <c r="L37" t="n">
        <v>172677.243149154</v>
      </c>
      <c r="M37" t="n">
        <v>193765.039222138</v>
      </c>
      <c r="N37" t="n">
        <v>223252.337839939</v>
      </c>
      <c r="O37" t="n">
        <v>241444.913397234</v>
      </c>
      <c r="P37" t="n">
        <v>264351.507011637</v>
      </c>
      <c r="Q37" t="n">
        <v>267023.68348825</v>
      </c>
      <c r="R37" t="n">
        <v>270309.991950041</v>
      </c>
      <c r="S37" t="n">
        <v>292552.841501602</v>
      </c>
      <c r="T37" t="n">
        <v>310995.343115302</v>
      </c>
      <c r="U37" t="n">
        <v>287924.166532032</v>
      </c>
      <c r="V37" t="n">
        <v>304599.894183164</v>
      </c>
      <c r="W37" t="n">
        <v>303396.719548615</v>
      </c>
      <c r="X37" t="n">
        <v>307317.157808123</v>
      </c>
      <c r="Y37" t="n">
        <v>321788.361741918</v>
      </c>
      <c r="Z37" t="n">
        <v>340458.830109001</v>
      </c>
      <c r="AA37" t="n">
        <v>360994.808595611</v>
      </c>
      <c r="AB37" t="n">
        <v>391629.038767157</v>
      </c>
      <c r="AC37" t="n">
        <v>449368.890755804</v>
      </c>
      <c r="AD37" t="n">
        <v>511542.730521534</v>
      </c>
      <c r="AE37" t="n">
        <v>567546</v>
      </c>
      <c r="AF37" t="n">
        <v>652224</v>
      </c>
    </row>
    <row r="38">
      <c r="A38" t="s">
        <v>34</v>
      </c>
      <c r="B38" t="s">
        <v>233</v>
      </c>
      <c r="C38" t="s">
        <v>129</v>
      </c>
      <c r="D38" t="s">
        <v>234</v>
      </c>
      <c r="E38" t="s">
        <v>130</v>
      </c>
      <c r="F38" t="n">
        <v>85408.796541234</v>
      </c>
      <c r="G38" t="n">
        <v>105324.99756559</v>
      </c>
      <c r="H38" t="n">
        <v>128830.869644293</v>
      </c>
      <c r="I38" t="n">
        <v>172558.756757742</v>
      </c>
      <c r="J38" t="n">
        <v>207375.036089253</v>
      </c>
      <c r="K38" t="n">
        <v>235104.872776459</v>
      </c>
      <c r="L38" t="n">
        <v>280813.89211683</v>
      </c>
      <c r="M38" t="n">
        <v>312613.642396925</v>
      </c>
      <c r="N38" t="n">
        <v>314264.912171756</v>
      </c>
      <c r="O38" t="n">
        <v>316627.363924372</v>
      </c>
      <c r="P38" t="n">
        <v>342079.230184073</v>
      </c>
      <c r="Q38" t="n">
        <v>384001.305922192</v>
      </c>
      <c r="R38" t="n">
        <v>412404.331929581</v>
      </c>
      <c r="S38" t="n">
        <v>444898.418687897</v>
      </c>
      <c r="T38" t="n">
        <v>485238.852176666</v>
      </c>
      <c r="U38" t="n">
        <v>502500.796766507</v>
      </c>
      <c r="V38" t="n">
        <v>555121.933351396</v>
      </c>
      <c r="W38" t="n">
        <v>594821.681120973</v>
      </c>
      <c r="X38" t="n">
        <v>630743.255310231</v>
      </c>
      <c r="Y38" t="n">
        <v>700760.943423435</v>
      </c>
      <c r="Z38" t="n">
        <v>738327.242236032</v>
      </c>
      <c r="AA38" t="n">
        <v>805160.714882839</v>
      </c>
      <c r="AB38" t="n">
        <v>871598.325295603</v>
      </c>
      <c r="AC38" t="n">
        <v>1003513.34390491</v>
      </c>
      <c r="AD38" t="n">
        <v>1128249.84175125</v>
      </c>
      <c r="AE38" t="n">
        <v>1225772</v>
      </c>
      <c r="AF38" t="n">
        <v>1491350</v>
      </c>
    </row>
    <row r="39">
      <c r="A39" t="s">
        <v>34</v>
      </c>
      <c r="B39" t="s">
        <v>235</v>
      </c>
      <c r="C39" t="s">
        <v>129</v>
      </c>
      <c r="D39" t="s">
        <v>236</v>
      </c>
      <c r="E39" t="s">
        <v>130</v>
      </c>
      <c r="F39" t="n">
        <v>2180047.66258224</v>
      </c>
      <c r="G39" t="n">
        <v>1902647.69721341</v>
      </c>
      <c r="H39" t="n">
        <v>1330009.5050486</v>
      </c>
      <c r="I39" t="n">
        <v>1325929.95889733</v>
      </c>
      <c r="J39" t="n">
        <v>1088289.1324423</v>
      </c>
      <c r="K39" t="n">
        <v>1156600.29408281</v>
      </c>
      <c r="L39" t="n">
        <v>1158520.84968005</v>
      </c>
      <c r="M39" t="n">
        <v>1246111.38004937</v>
      </c>
      <c r="N39" t="n">
        <v>1319116.279574</v>
      </c>
      <c r="O39" t="n">
        <v>1405972.32746231</v>
      </c>
      <c r="P39" t="n">
        <v>1459499.79991844</v>
      </c>
      <c r="Q39" t="n">
        <v>1477685.50274927</v>
      </c>
      <c r="R39" t="n">
        <v>1430391.32028164</v>
      </c>
      <c r="S39" t="n">
        <v>1434110.02555505</v>
      </c>
      <c r="T39" t="n">
        <v>1405596.65991388</v>
      </c>
      <c r="U39" t="n">
        <v>1341694.54303119</v>
      </c>
      <c r="V39" t="n">
        <v>1307919.35912745</v>
      </c>
      <c r="W39" t="n">
        <v>1299022.79469512</v>
      </c>
      <c r="X39" t="n">
        <v>1273476.98443794</v>
      </c>
      <c r="Y39" t="n">
        <v>1264706.90031533</v>
      </c>
      <c r="Z39" t="n">
        <v>1279467.3640176</v>
      </c>
      <c r="AA39" t="n">
        <v>1302539.53626261</v>
      </c>
      <c r="AB39" t="n">
        <v>1325009.29792342</v>
      </c>
      <c r="AC39" t="n">
        <v>1436789.60715021</v>
      </c>
      <c r="AD39" t="n">
        <v>1633202.38414362</v>
      </c>
      <c r="AE39" t="n">
        <v>1682103</v>
      </c>
      <c r="AF39" t="n">
        <v>1857651</v>
      </c>
    </row>
    <row r="40">
      <c r="A40" t="s">
        <v>34</v>
      </c>
      <c r="B40" t="s">
        <v>237</v>
      </c>
      <c r="C40" t="s">
        <v>129</v>
      </c>
      <c r="D40" t="s">
        <v>238</v>
      </c>
      <c r="E40" t="s">
        <v>130</v>
      </c>
      <c r="F40" t="n">
        <v>2688810.92736728</v>
      </c>
      <c r="G40" t="n">
        <v>2773614.34768934</v>
      </c>
      <c r="H40" t="n">
        <v>2817687.73993574</v>
      </c>
      <c r="I40" t="n">
        <v>2662668.64694406</v>
      </c>
      <c r="J40" t="n">
        <v>2757799.50276412</v>
      </c>
      <c r="K40" t="n">
        <v>2788316.41167733</v>
      </c>
      <c r="L40" t="n">
        <v>2743467.87075408</v>
      </c>
      <c r="M40" t="n">
        <v>2686698.92184309</v>
      </c>
      <c r="N40" t="n">
        <v>2851711.25425847</v>
      </c>
      <c r="O40" t="n">
        <v>2848290.94734746</v>
      </c>
      <c r="P40" t="n">
        <v>3018697.57216296</v>
      </c>
      <c r="Q40" t="n">
        <v>3226374.57276388</v>
      </c>
      <c r="R40" t="n">
        <v>3199964.60829292</v>
      </c>
      <c r="S40" t="n">
        <v>3228838.68971386</v>
      </c>
      <c r="T40" t="n">
        <v>3309937.82489307</v>
      </c>
      <c r="U40" t="n">
        <v>3631828.44520543</v>
      </c>
      <c r="V40" t="n">
        <v>3775953.73750352</v>
      </c>
      <c r="W40" t="n">
        <v>3754235.65925533</v>
      </c>
      <c r="X40" t="n">
        <v>3802282.29993386</v>
      </c>
      <c r="Y40" t="n">
        <v>3797694.5859599</v>
      </c>
      <c r="Z40" t="n">
        <v>3761871.16713733</v>
      </c>
      <c r="AA40" t="n">
        <v>3860402.99760597</v>
      </c>
      <c r="AB40" t="n">
        <v>3936692.67435728</v>
      </c>
      <c r="AC40" t="n">
        <v>4128908.30691544</v>
      </c>
      <c r="AD40" t="n">
        <v>4260298.41374298</v>
      </c>
      <c r="AE40" t="n">
        <v>4299815</v>
      </c>
      <c r="AF40" t="n">
        <v>4366425</v>
      </c>
    </row>
    <row r="41">
      <c r="A41" t="s">
        <v>34</v>
      </c>
      <c r="B41" t="s">
        <v>239</v>
      </c>
      <c r="C41" t="s">
        <v>129</v>
      </c>
      <c r="D41" t="s">
        <v>240</v>
      </c>
      <c r="E41" t="s">
        <v>130</v>
      </c>
      <c r="F41" t="n">
        <v>1719741.07991766</v>
      </c>
      <c r="G41" t="n">
        <v>1787080.4624681</v>
      </c>
      <c r="H41" t="n">
        <v>1848502.61866835</v>
      </c>
      <c r="I41" t="n">
        <v>1833612.12618329</v>
      </c>
      <c r="J41" t="n">
        <v>1959523.73676189</v>
      </c>
      <c r="K41" t="n">
        <v>1999660.79207369</v>
      </c>
      <c r="L41" t="n">
        <v>2037639.88746306</v>
      </c>
      <c r="M41" t="n">
        <v>2063720.5870116</v>
      </c>
      <c r="N41" t="n">
        <v>2122903.08936101</v>
      </c>
      <c r="O41" t="n">
        <v>2133129.60691491</v>
      </c>
      <c r="P41" t="n">
        <v>2194743.10201149</v>
      </c>
      <c r="Q41" t="n">
        <v>2278197.59881755</v>
      </c>
      <c r="R41" t="n">
        <v>2287041.20247086</v>
      </c>
      <c r="S41" t="n">
        <v>2301174.95767607</v>
      </c>
      <c r="T41" t="n">
        <v>2316355.09812526</v>
      </c>
      <c r="U41" t="n">
        <v>2688992.25414029</v>
      </c>
      <c r="V41" t="n">
        <v>2742262.14491783</v>
      </c>
      <c r="W41" t="n">
        <v>2712738.41385493</v>
      </c>
      <c r="X41" t="n">
        <v>2673121.75367768</v>
      </c>
      <c r="Y41" t="n">
        <v>2651461.43427443</v>
      </c>
      <c r="Z41" t="n">
        <v>2660723.77092416</v>
      </c>
      <c r="AA41" t="n">
        <v>2685449.19962851</v>
      </c>
      <c r="AB41" t="n">
        <v>2714901.16526078</v>
      </c>
      <c r="AC41" t="n">
        <v>2820070.1981856</v>
      </c>
      <c r="AD41" t="n">
        <v>2915767.63340963</v>
      </c>
      <c r="AE41" t="n">
        <v>3012463</v>
      </c>
      <c r="AF41" t="n">
        <v>2956678</v>
      </c>
    </row>
    <row r="42">
      <c r="A42" t="s">
        <v>34</v>
      </c>
      <c r="B42" t="s">
        <v>241</v>
      </c>
      <c r="C42" t="s">
        <v>129</v>
      </c>
      <c r="D42" t="s">
        <v>242</v>
      </c>
      <c r="E42" t="s">
        <v>130</v>
      </c>
      <c r="F42" t="n">
        <v>801242.399778475</v>
      </c>
      <c r="G42" t="n">
        <v>913334.257214018</v>
      </c>
      <c r="H42" t="n">
        <v>983103.517443013</v>
      </c>
      <c r="I42" t="n">
        <v>1010720.55006108</v>
      </c>
      <c r="J42" t="n">
        <v>1035262.53794286</v>
      </c>
      <c r="K42" t="n">
        <v>1116841.34012192</v>
      </c>
      <c r="L42" t="n">
        <v>1251585.21519473</v>
      </c>
      <c r="M42" t="n">
        <v>1339597.32506264</v>
      </c>
      <c r="N42" t="n">
        <v>1358706.16294478</v>
      </c>
      <c r="O42" t="n">
        <v>1310532.73438034</v>
      </c>
      <c r="P42" t="n">
        <v>1364712.95570248</v>
      </c>
      <c r="Q42" t="n">
        <v>1456492.39082336</v>
      </c>
      <c r="R42" t="n">
        <v>1438519.50904906</v>
      </c>
      <c r="S42" t="n">
        <v>1515651.62676714</v>
      </c>
      <c r="T42" t="n">
        <v>1469583.81837404</v>
      </c>
      <c r="U42" t="n">
        <v>1521136.58717463</v>
      </c>
      <c r="V42" t="n">
        <v>1540409.14464891</v>
      </c>
      <c r="W42" t="n">
        <v>1528142.6665313</v>
      </c>
      <c r="X42" t="n">
        <v>1617380.25736159</v>
      </c>
      <c r="Y42" t="n">
        <v>1687961.21212081</v>
      </c>
      <c r="Z42" t="n">
        <v>1805475.96424025</v>
      </c>
      <c r="AA42" t="n">
        <v>1936041.64555107</v>
      </c>
      <c r="AB42" t="n">
        <v>2139968.59965614</v>
      </c>
      <c r="AC42" t="n">
        <v>2385357.20481045</v>
      </c>
      <c r="AD42" t="n">
        <v>2598205.92211375</v>
      </c>
      <c r="AE42" t="n">
        <v>2658595</v>
      </c>
      <c r="AF42" t="n">
        <v>2981894</v>
      </c>
    </row>
    <row r="43">
      <c r="A43" t="s">
        <v>34</v>
      </c>
      <c r="B43" t="s">
        <v>243</v>
      </c>
      <c r="C43" t="s">
        <v>129</v>
      </c>
      <c r="D43" t="s">
        <v>244</v>
      </c>
      <c r="E43" t="s">
        <v>130</v>
      </c>
      <c r="F43" t="n">
        <v>1321664.00304533</v>
      </c>
      <c r="G43" t="n">
        <v>1495136.25298505</v>
      </c>
      <c r="H43" t="n">
        <v>1543491.354157</v>
      </c>
      <c r="I43" t="n">
        <v>1586436.2337434</v>
      </c>
      <c r="J43" t="n">
        <v>1645895.44340688</v>
      </c>
      <c r="K43" t="n">
        <v>1771096.25134024</v>
      </c>
      <c r="L43" t="n">
        <v>1979482.53885635</v>
      </c>
      <c r="M43" t="n">
        <v>2149744.44994415</v>
      </c>
      <c r="N43" t="n">
        <v>2245040.34190168</v>
      </c>
      <c r="O43" t="n">
        <v>2230270.76499436</v>
      </c>
      <c r="P43" t="n">
        <v>2354718.60938015</v>
      </c>
      <c r="Q43" t="n">
        <v>2502699.57441081</v>
      </c>
      <c r="R43" t="n">
        <v>2453020.80441745</v>
      </c>
      <c r="S43" t="n">
        <v>2530376.27942069</v>
      </c>
      <c r="T43" t="n">
        <v>2453287.49472741</v>
      </c>
      <c r="U43" t="n">
        <v>2490947.14013533</v>
      </c>
      <c r="V43" t="n">
        <v>2566761.16695627</v>
      </c>
      <c r="W43" t="n">
        <v>2569633.90137339</v>
      </c>
      <c r="X43" t="n">
        <v>2674316.24807318</v>
      </c>
      <c r="Y43" t="n">
        <v>2814572.87137271</v>
      </c>
      <c r="Z43" t="n">
        <v>3013166.95653219</v>
      </c>
      <c r="AA43" t="n">
        <v>3204587.74726958</v>
      </c>
      <c r="AB43" t="n">
        <v>3597931.45656184</v>
      </c>
      <c r="AC43" t="n">
        <v>3937870.03135857</v>
      </c>
      <c r="AD43" t="n">
        <v>4235700.18493359</v>
      </c>
      <c r="AE43" t="n">
        <v>4059850</v>
      </c>
      <c r="AF43" t="n">
        <v>4688881</v>
      </c>
    </row>
    <row r="44">
      <c r="A44" t="s">
        <v>34</v>
      </c>
      <c r="B44" t="s">
        <v>245</v>
      </c>
      <c r="C44" t="s">
        <v>129</v>
      </c>
      <c r="D44" t="s">
        <v>246</v>
      </c>
      <c r="E44" t="s">
        <v>130</v>
      </c>
      <c r="F44" t="n">
        <v>15208185.178788</v>
      </c>
      <c r="G44" t="n">
        <v>15422912.399921</v>
      </c>
      <c r="H44" t="n">
        <v>16073123.1468832</v>
      </c>
      <c r="I44" t="n">
        <v>16910574.6461118</v>
      </c>
      <c r="J44" t="n">
        <v>17445978.8546702</v>
      </c>
      <c r="K44" t="n">
        <v>18191390.340562</v>
      </c>
      <c r="L44" t="n">
        <v>19149270.9651555</v>
      </c>
      <c r="M44" t="n">
        <v>20317990.9978039</v>
      </c>
      <c r="N44" t="n">
        <v>21099120.696178</v>
      </c>
      <c r="O44" t="n">
        <v>22509752.4780666</v>
      </c>
      <c r="P44" t="n">
        <v>23552161.2709356</v>
      </c>
      <c r="Q44" t="n">
        <v>24559447.9214416</v>
      </c>
      <c r="R44" t="n">
        <v>24679839.4539412</v>
      </c>
      <c r="S44" t="n">
        <v>24917133.2577331</v>
      </c>
      <c r="T44" t="n">
        <v>22588787.6786579</v>
      </c>
      <c r="U44" t="n">
        <v>22660199.4865022</v>
      </c>
      <c r="V44" t="n">
        <v>23056581.5605899</v>
      </c>
      <c r="W44" t="n">
        <v>22563261.0902276</v>
      </c>
      <c r="X44" t="n">
        <v>23080897.4834332</v>
      </c>
      <c r="Y44" t="n">
        <v>24486149.6513173</v>
      </c>
      <c r="Z44" t="n">
        <v>25632901.26528</v>
      </c>
      <c r="AA44" t="n">
        <v>26336087.6366215</v>
      </c>
      <c r="AB44" t="n">
        <v>27749046.0019363</v>
      </c>
      <c r="AC44" t="n">
        <v>29719652.3937455</v>
      </c>
      <c r="AD44" t="n">
        <v>31519716.2673366</v>
      </c>
      <c r="AE44" t="n">
        <v>29802196</v>
      </c>
      <c r="AF44" t="n">
        <v>32718842</v>
      </c>
    </row>
    <row r="45">
      <c r="A45" t="s">
        <v>34</v>
      </c>
      <c r="B45" t="s">
        <v>247</v>
      </c>
      <c r="C45" t="s">
        <v>129</v>
      </c>
      <c r="D45" t="s">
        <v>248</v>
      </c>
      <c r="E45" t="s">
        <v>130</v>
      </c>
      <c r="F45" t="n">
        <v>14125246.1762257</v>
      </c>
      <c r="G45" t="n">
        <v>14261170.0205035</v>
      </c>
      <c r="H45" t="n">
        <v>15005095.0507688</v>
      </c>
      <c r="I45" t="n">
        <v>15806337.2457377</v>
      </c>
      <c r="J45" t="n">
        <v>16314345.4070379</v>
      </c>
      <c r="K45" t="n">
        <v>17229170.6465064</v>
      </c>
      <c r="L45" t="n">
        <v>18027921.7480233</v>
      </c>
      <c r="M45" t="n">
        <v>19457818.7552416</v>
      </c>
      <c r="N45" t="n">
        <v>20261471.0777189</v>
      </c>
      <c r="O45" t="n">
        <v>21027007.4378428</v>
      </c>
      <c r="P45" t="n">
        <v>22163261.4470866</v>
      </c>
      <c r="Q45" t="n">
        <v>23258353.8082345</v>
      </c>
      <c r="R45" t="n">
        <v>23649761.0675428</v>
      </c>
      <c r="S45" t="n">
        <v>23135431.3889794</v>
      </c>
      <c r="T45" t="n">
        <v>21031075.4468084</v>
      </c>
      <c r="U45" t="n">
        <v>21337037.2376621</v>
      </c>
      <c r="V45" t="n">
        <v>21548338.7152304</v>
      </c>
      <c r="W45" t="n">
        <v>21365855.9807199</v>
      </c>
      <c r="X45" t="n">
        <v>21676944.2939662</v>
      </c>
      <c r="Y45" t="n">
        <v>22865246.0661595</v>
      </c>
      <c r="Z45" t="n">
        <v>24025785.2036436</v>
      </c>
      <c r="AA45" t="n">
        <v>24527686.8506965</v>
      </c>
      <c r="AB45" t="n">
        <v>26034114.5236926</v>
      </c>
      <c r="AC45" t="n">
        <v>27915352.2203496</v>
      </c>
      <c r="AD45" t="n">
        <v>29732049.9029115</v>
      </c>
      <c r="AE45" t="n">
        <v>28161012</v>
      </c>
      <c r="AF45" t="n">
        <v>31051957</v>
      </c>
    </row>
    <row r="46">
      <c r="A46" t="s">
        <v>34</v>
      </c>
      <c r="B46" t="s">
        <v>249</v>
      </c>
      <c r="C46" t="s">
        <v>129</v>
      </c>
      <c r="D46" t="s">
        <v>250</v>
      </c>
      <c r="E46" t="s">
        <v>130</v>
      </c>
      <c r="F46" t="n">
        <v>522450.258648093</v>
      </c>
      <c r="G46" t="n">
        <v>583736.72299265</v>
      </c>
      <c r="H46" t="n">
        <v>560522.131278614</v>
      </c>
      <c r="I46" t="n">
        <v>575842.056001647</v>
      </c>
      <c r="J46" t="n">
        <v>611460.945572696</v>
      </c>
      <c r="K46" t="n">
        <v>655071.601325936</v>
      </c>
      <c r="L46" t="n">
        <v>728812.816927704</v>
      </c>
      <c r="M46" t="n">
        <v>811904.017282927</v>
      </c>
      <c r="N46" t="n">
        <v>889619.284790528</v>
      </c>
      <c r="O46" t="n">
        <v>927473.138368836</v>
      </c>
      <c r="P46" t="n">
        <v>1001306.4930728</v>
      </c>
      <c r="Q46" t="n">
        <v>1057150.76597555</v>
      </c>
      <c r="R46" t="n">
        <v>1023117.07100455</v>
      </c>
      <c r="S46" t="n">
        <v>1018862.45301014</v>
      </c>
      <c r="T46" t="n">
        <v>987702.169171842</v>
      </c>
      <c r="U46" t="n">
        <v>970283.587411292</v>
      </c>
      <c r="V46" t="n">
        <v>1030486.54464582</v>
      </c>
      <c r="W46" t="n">
        <v>1047093.47287295</v>
      </c>
      <c r="X46" t="n">
        <v>1059202.38157272</v>
      </c>
      <c r="Y46" t="n">
        <v>1130447.66512281</v>
      </c>
      <c r="Z46" t="n">
        <v>1211966.85562764</v>
      </c>
      <c r="AA46" t="n">
        <v>1271346.22438521</v>
      </c>
      <c r="AB46" t="n">
        <v>1464104.50134828</v>
      </c>
      <c r="AC46" t="n">
        <v>1556500.22555248</v>
      </c>
      <c r="AD46" t="n">
        <v>1640365.90058201</v>
      </c>
      <c r="AE46" t="n">
        <v>1401255</v>
      </c>
      <c r="AF46" t="n">
        <v>1706987</v>
      </c>
    </row>
    <row r="47">
      <c r="A47" t="s">
        <v>34</v>
      </c>
      <c r="B47" t="s">
        <v>251</v>
      </c>
      <c r="C47" t="s">
        <v>129</v>
      </c>
      <c r="D47" t="s">
        <v>252</v>
      </c>
      <c r="E47" t="s">
        <v>130</v>
      </c>
      <c r="F47" t="n">
        <v>2368217.87217959</v>
      </c>
      <c r="G47" t="n">
        <v>2345836.36212467</v>
      </c>
      <c r="H47" t="n">
        <v>2303882.00433822</v>
      </c>
      <c r="I47" t="n">
        <v>2330489.8251144</v>
      </c>
      <c r="J47" t="n">
        <v>2366235.21617306</v>
      </c>
      <c r="K47" t="n">
        <v>2415195.05334243</v>
      </c>
      <c r="L47" t="n">
        <v>2462124.78688593</v>
      </c>
      <c r="M47" t="n">
        <v>2496180.39760168</v>
      </c>
      <c r="N47" t="n">
        <v>2581636.16003104</v>
      </c>
      <c r="O47" t="n">
        <v>2586273.75711623</v>
      </c>
      <c r="P47" t="n">
        <v>2576641.17258316</v>
      </c>
      <c r="Q47" t="n">
        <v>2598739.43706276</v>
      </c>
      <c r="R47" t="n">
        <v>2647262.63686566</v>
      </c>
      <c r="S47" t="n">
        <v>2659603.02167592</v>
      </c>
      <c r="T47" t="n">
        <v>2664768.27221949</v>
      </c>
      <c r="U47" t="n">
        <v>2761232.89747193</v>
      </c>
      <c r="V47" t="n">
        <v>2795884.51328077</v>
      </c>
      <c r="W47" t="n">
        <v>2818237.89171335</v>
      </c>
      <c r="X47" t="n">
        <v>3046211.20653305</v>
      </c>
      <c r="Y47" t="n">
        <v>3129346.36030102</v>
      </c>
      <c r="Z47" t="n">
        <v>3252787.46593933</v>
      </c>
      <c r="AA47" t="n">
        <v>3298653.31929548</v>
      </c>
      <c r="AB47" t="n">
        <v>3249417.66775977</v>
      </c>
      <c r="AC47" t="n">
        <v>3263922.24584482</v>
      </c>
      <c r="AD47" t="n">
        <v>3249329.1784515</v>
      </c>
      <c r="AE47" t="n">
        <v>3304940</v>
      </c>
      <c r="AF47" t="n">
        <v>3368044</v>
      </c>
    </row>
    <row r="48">
      <c r="A48" t="s">
        <v>34</v>
      </c>
      <c r="B48" t="s">
        <v>253</v>
      </c>
      <c r="C48" t="s">
        <v>129</v>
      </c>
      <c r="D48" t="s">
        <v>254</v>
      </c>
      <c r="E48" t="s">
        <v>130</v>
      </c>
      <c r="F48" t="n">
        <v>5267340.2164337</v>
      </c>
      <c r="G48" t="n">
        <v>5299923.3622716</v>
      </c>
      <c r="H48" t="n">
        <v>5177275.69406136</v>
      </c>
      <c r="I48" t="n">
        <v>5268769.33650239</v>
      </c>
      <c r="J48" t="n">
        <v>5347804.86281611</v>
      </c>
      <c r="K48" t="n">
        <v>5671007.00339456</v>
      </c>
      <c r="L48" t="n">
        <v>5828752.03211232</v>
      </c>
      <c r="M48" t="n">
        <v>5987930.98626787</v>
      </c>
      <c r="N48" t="n">
        <v>6240880.05306913</v>
      </c>
      <c r="O48" t="n">
        <v>6276724.43331401</v>
      </c>
      <c r="P48" t="n">
        <v>6396989.95298879</v>
      </c>
      <c r="Q48" t="n">
        <v>6463153.68377872</v>
      </c>
      <c r="R48" t="n">
        <v>6455047.08242523</v>
      </c>
      <c r="S48" t="n">
        <v>6468903.3236751</v>
      </c>
      <c r="T48" t="n">
        <v>6434836.8191318</v>
      </c>
      <c r="U48" t="n">
        <v>6499448.71527211</v>
      </c>
      <c r="V48" t="n">
        <v>6631190.74755516</v>
      </c>
      <c r="W48" t="n">
        <v>6749258.95500339</v>
      </c>
      <c r="X48" t="n">
        <v>7104160.64101122</v>
      </c>
      <c r="Y48" t="n">
        <v>7141173.21507014</v>
      </c>
      <c r="Z48" t="n">
        <v>7229310.72473884</v>
      </c>
      <c r="AA48" t="n">
        <v>7361131.43603492</v>
      </c>
      <c r="AB48" t="n">
        <v>7317693.46559</v>
      </c>
      <c r="AC48" t="n">
        <v>7386525.73679943</v>
      </c>
      <c r="AD48" t="n">
        <v>7455521.48110367</v>
      </c>
      <c r="AE48" t="n">
        <v>7138561</v>
      </c>
      <c r="AF48" t="n">
        <v>7253429</v>
      </c>
    </row>
    <row r="49">
      <c r="A49" t="s">
        <v>34</v>
      </c>
      <c r="B49" t="s">
        <v>255</v>
      </c>
      <c r="C49" t="s">
        <v>129</v>
      </c>
      <c r="D49" t="s">
        <v>256</v>
      </c>
      <c r="E49" t="s">
        <v>130</v>
      </c>
      <c r="F49" t="n">
        <v>1482701.38567218</v>
      </c>
      <c r="G49" t="n">
        <v>1490350.7939322</v>
      </c>
      <c r="H49" t="n">
        <v>1479315.1838901</v>
      </c>
      <c r="I49" t="n">
        <v>1519957.57274794</v>
      </c>
      <c r="J49" t="n">
        <v>1532707.55131509</v>
      </c>
      <c r="K49" t="n">
        <v>1659876.84883736</v>
      </c>
      <c r="L49" t="n">
        <v>1737420.93070683</v>
      </c>
      <c r="M49" t="n">
        <v>1788238.4615821</v>
      </c>
      <c r="N49" t="n">
        <v>1816448.3969473</v>
      </c>
      <c r="O49" t="n">
        <v>1801109.61277892</v>
      </c>
      <c r="P49" t="n">
        <v>1814283.03306822</v>
      </c>
      <c r="Q49" t="n">
        <v>1810130.51988661</v>
      </c>
      <c r="R49" t="n">
        <v>1829696.32064858</v>
      </c>
      <c r="S49" t="n">
        <v>1817541.82086682</v>
      </c>
      <c r="T49" t="n">
        <v>1776540.75294085</v>
      </c>
      <c r="U49" t="n">
        <v>1779044.63921769</v>
      </c>
      <c r="V49" t="n">
        <v>1805971.45312915</v>
      </c>
      <c r="W49" t="n">
        <v>1862292.74840794</v>
      </c>
      <c r="X49" t="n">
        <v>1886427.48700315</v>
      </c>
      <c r="Y49" t="n">
        <v>1768095.91161687</v>
      </c>
      <c r="Z49" t="n">
        <v>1749523.57222326</v>
      </c>
      <c r="AA49" t="n">
        <v>1765382.78063161</v>
      </c>
      <c r="AB49" t="n">
        <v>1754972.6872253</v>
      </c>
      <c r="AC49" t="n">
        <v>1793045.93487763</v>
      </c>
      <c r="AD49" t="n">
        <v>1817878.00512018</v>
      </c>
      <c r="AE49" t="n">
        <v>1849984</v>
      </c>
      <c r="AF49" t="n">
        <v>1819503</v>
      </c>
    </row>
    <row r="50">
      <c r="A50" t="s">
        <v>34</v>
      </c>
      <c r="B50" t="s">
        <v>257</v>
      </c>
      <c r="C50" t="s">
        <v>129</v>
      </c>
      <c r="D50" t="s">
        <v>258</v>
      </c>
      <c r="E50" t="s">
        <v>130</v>
      </c>
      <c r="F50" t="n">
        <v>1455762.097723</v>
      </c>
      <c r="G50" t="n">
        <v>1509786.79366344</v>
      </c>
      <c r="H50" t="n">
        <v>1433191.55551268</v>
      </c>
      <c r="I50" t="n">
        <v>1458957.17944721</v>
      </c>
      <c r="J50" t="n">
        <v>1491341.88164355</v>
      </c>
      <c r="K50" t="n">
        <v>1667422.82981586</v>
      </c>
      <c r="L50" t="n">
        <v>1705879.8474597</v>
      </c>
      <c r="M50" t="n">
        <v>1798430.36655219</v>
      </c>
      <c r="N50" t="n">
        <v>1962563.73351175</v>
      </c>
      <c r="O50" t="n">
        <v>2022111.15983564</v>
      </c>
      <c r="P50" t="n">
        <v>2176604.54251754</v>
      </c>
      <c r="Q50" t="n">
        <v>2239007.79544226</v>
      </c>
      <c r="R50" t="n">
        <v>2115610.83797417</v>
      </c>
      <c r="S50" t="n">
        <v>2131507.59040427</v>
      </c>
      <c r="T50" t="n">
        <v>2131641.93857312</v>
      </c>
      <c r="U50" t="n">
        <v>2054722.38269489</v>
      </c>
      <c r="V50" t="n">
        <v>2143584.94737943</v>
      </c>
      <c r="W50" t="n">
        <v>2193919.92516499</v>
      </c>
      <c r="X50" t="n">
        <v>2282948.04345506</v>
      </c>
      <c r="Y50" t="n">
        <v>2340557.43290317</v>
      </c>
      <c r="Z50" t="n">
        <v>2306350.00778906</v>
      </c>
      <c r="AA50" t="n">
        <v>2388963.91475548</v>
      </c>
      <c r="AB50" t="n">
        <v>2415438.32266519</v>
      </c>
      <c r="AC50" t="n">
        <v>2429663.80708188</v>
      </c>
      <c r="AD50" t="n">
        <v>2499843.64108369</v>
      </c>
      <c r="AE50" t="n">
        <v>1983637</v>
      </c>
      <c r="AF50" t="n">
        <v>2065882</v>
      </c>
    </row>
    <row r="51">
      <c r="A51" t="s">
        <v>34</v>
      </c>
      <c r="B51" t="s">
        <v>259</v>
      </c>
      <c r="C51" t="s">
        <v>129</v>
      </c>
      <c r="D51" t="s">
        <v>260</v>
      </c>
      <c r="E51" t="s">
        <v>130</v>
      </c>
      <c r="F51" t="n">
        <v>1225645.2522994</v>
      </c>
      <c r="G51" t="n">
        <v>1294482.76644105</v>
      </c>
      <c r="H51" t="n">
        <v>1218394.86174369</v>
      </c>
      <c r="I51" t="n">
        <v>1233485.556076</v>
      </c>
      <c r="J51" t="n">
        <v>1267728.73601744</v>
      </c>
      <c r="K51" t="n">
        <v>1428570.03887048</v>
      </c>
      <c r="L51" t="n">
        <v>1450359.21888043</v>
      </c>
      <c r="M51" t="n">
        <v>1520629.32201449</v>
      </c>
      <c r="N51" t="n">
        <v>1656569.54210873</v>
      </c>
      <c r="O51" t="n">
        <v>1708225.10649822</v>
      </c>
      <c r="P51" t="n">
        <v>1858918.96789572</v>
      </c>
      <c r="Q51" t="n">
        <v>1916425.016989</v>
      </c>
      <c r="R51" t="n">
        <v>1765445.17158807</v>
      </c>
      <c r="S51" t="n">
        <v>1805836.39836091</v>
      </c>
      <c r="T51" t="n">
        <v>1777561.27460373</v>
      </c>
      <c r="U51" t="n">
        <v>1705795.88237889</v>
      </c>
      <c r="V51" t="n">
        <v>1792645.9224995</v>
      </c>
      <c r="W51" t="n">
        <v>1859296.01150494</v>
      </c>
      <c r="X51" t="n">
        <v>1931273.58464305</v>
      </c>
      <c r="Y51" t="n">
        <v>1952952.01425095</v>
      </c>
      <c r="Z51" t="n">
        <v>1915833.11970997</v>
      </c>
      <c r="AA51" t="n">
        <v>2010164.2610616</v>
      </c>
      <c r="AB51" t="n">
        <v>2012033.94189517</v>
      </c>
      <c r="AC51" t="n">
        <v>2021831.48965895</v>
      </c>
      <c r="AD51" t="n">
        <v>2091497.79706127</v>
      </c>
      <c r="AE51" t="n">
        <v>1518869</v>
      </c>
      <c r="AF51" t="n">
        <v>1617619</v>
      </c>
    </row>
    <row r="52">
      <c r="A52" t="s">
        <v>34</v>
      </c>
      <c r="B52" t="s">
        <v>261</v>
      </c>
      <c r="C52" t="s">
        <v>129</v>
      </c>
      <c r="D52" t="s">
        <v>262</v>
      </c>
      <c r="E52" t="s">
        <v>130</v>
      </c>
      <c r="F52" t="n">
        <v>263591.938747154</v>
      </c>
      <c r="G52" t="n">
        <v>255787.744353584</v>
      </c>
      <c r="H52" t="n">
        <v>250689.464137218</v>
      </c>
      <c r="I52" t="n">
        <v>260401.230177962</v>
      </c>
      <c r="J52" t="n">
        <v>260813.085098639</v>
      </c>
      <c r="K52" t="n">
        <v>282816.993983893</v>
      </c>
      <c r="L52" t="n">
        <v>298232.213033975</v>
      </c>
      <c r="M52" t="n">
        <v>320935.710262766</v>
      </c>
      <c r="N52" t="n">
        <v>352454.991321423</v>
      </c>
      <c r="O52" t="n">
        <v>362101.80301999</v>
      </c>
      <c r="P52" t="n">
        <v>375417.946351722</v>
      </c>
      <c r="Q52" t="n">
        <v>383409.68784712</v>
      </c>
      <c r="R52" t="n">
        <v>390669.286410859</v>
      </c>
      <c r="S52" t="n">
        <v>375552.404055338</v>
      </c>
      <c r="T52" t="n">
        <v>393867.301478918</v>
      </c>
      <c r="U52" t="n">
        <v>384711.93881258</v>
      </c>
      <c r="V52" t="n">
        <v>392194.821951583</v>
      </c>
      <c r="W52" t="n">
        <v>383495.995651137</v>
      </c>
      <c r="X52" t="n">
        <v>401699.059249178</v>
      </c>
      <c r="Y52" t="n">
        <v>432790.717981943</v>
      </c>
      <c r="Z52" t="n">
        <v>433009.905177845</v>
      </c>
      <c r="AA52" t="n">
        <v>428933.429969113</v>
      </c>
      <c r="AB52" t="n">
        <v>449237.220152925</v>
      </c>
      <c r="AC52" t="n">
        <v>453423.166947929</v>
      </c>
      <c r="AD52" t="n">
        <v>458002.034856989</v>
      </c>
      <c r="AE52" t="n">
        <v>464768</v>
      </c>
      <c r="AF52" t="n">
        <v>448263</v>
      </c>
    </row>
    <row r="53">
      <c r="A53" t="s">
        <v>34</v>
      </c>
      <c r="B53" t="s">
        <v>263</v>
      </c>
      <c r="C53" t="s">
        <v>129</v>
      </c>
      <c r="D53" t="s">
        <v>264</v>
      </c>
      <c r="E53" t="s">
        <v>130</v>
      </c>
      <c r="F53" t="n">
        <v>267488.947114451</v>
      </c>
      <c r="G53" t="n">
        <v>241660.931621388</v>
      </c>
      <c r="H53" t="n">
        <v>203372.043831659</v>
      </c>
      <c r="I53" t="n">
        <v>199068.986010485</v>
      </c>
      <c r="J53" t="n">
        <v>218300.411597586</v>
      </c>
      <c r="K53" t="n">
        <v>235440.613076882</v>
      </c>
      <c r="L53" t="n">
        <v>267281.83947298</v>
      </c>
      <c r="M53" t="n">
        <v>306570.588514999</v>
      </c>
      <c r="N53" t="n">
        <v>289855.626896035</v>
      </c>
      <c r="O53" t="n">
        <v>281430.008543685</v>
      </c>
      <c r="P53" t="n">
        <v>295187.080697172</v>
      </c>
      <c r="Q53" t="n">
        <v>313008.551475372</v>
      </c>
      <c r="R53" t="n">
        <v>316886.889967564</v>
      </c>
      <c r="S53" t="n">
        <v>341801.020296909</v>
      </c>
      <c r="T53" t="n">
        <v>309855.568948677</v>
      </c>
      <c r="U53" t="n">
        <v>338683.303538113</v>
      </c>
      <c r="V53" t="n">
        <v>340364.86135402</v>
      </c>
      <c r="W53" t="n">
        <v>344152.053212714</v>
      </c>
      <c r="X53" t="n">
        <v>377102.635609984</v>
      </c>
      <c r="Y53" t="n">
        <v>401396.841679156</v>
      </c>
      <c r="Z53" t="n">
        <v>436398.824787431</v>
      </c>
      <c r="AA53" t="n">
        <v>453528.562342252</v>
      </c>
      <c r="AB53" t="n">
        <v>507760.78254876</v>
      </c>
      <c r="AC53" t="n">
        <v>541353.283544135</v>
      </c>
      <c r="AD53" t="n">
        <v>610576.183582143</v>
      </c>
      <c r="AE53" t="n">
        <v>547670</v>
      </c>
      <c r="AF53" t="n">
        <v>606644</v>
      </c>
    </row>
    <row r="54">
      <c r="A54" t="s">
        <v>34</v>
      </c>
      <c r="B54" t="s">
        <v>265</v>
      </c>
      <c r="C54" t="s">
        <v>129</v>
      </c>
      <c r="D54" t="s">
        <v>266</v>
      </c>
      <c r="E54" t="s">
        <v>130</v>
      </c>
      <c r="F54" t="n">
        <v>851288.242036359</v>
      </c>
      <c r="G54" t="n">
        <v>775048.042078067</v>
      </c>
      <c r="H54" t="n">
        <v>732994.093778061</v>
      </c>
      <c r="I54" t="n">
        <v>711101.962298109</v>
      </c>
      <c r="J54" t="n">
        <v>740409.994484658</v>
      </c>
      <c r="K54" t="n">
        <v>754552.272902215</v>
      </c>
      <c r="L54" t="n">
        <v>835044.363572351</v>
      </c>
      <c r="M54" t="n">
        <v>892728.245319749</v>
      </c>
      <c r="N54" t="n">
        <v>853649.598997489</v>
      </c>
      <c r="O54" t="n">
        <v>841645.246848213</v>
      </c>
      <c r="P54" t="n">
        <v>875546.739055651</v>
      </c>
      <c r="Q54" t="n">
        <v>875744.58019454</v>
      </c>
      <c r="R54" t="n">
        <v>894441.073617564</v>
      </c>
      <c r="S54" t="n">
        <v>908142.674607933</v>
      </c>
      <c r="T54" t="n">
        <v>875191.31108342</v>
      </c>
      <c r="U54" t="n">
        <v>872422.770336717</v>
      </c>
      <c r="V54" t="n">
        <v>882958.276264873</v>
      </c>
      <c r="W54" t="n">
        <v>856653.91878957</v>
      </c>
      <c r="X54" t="n">
        <v>879366.751284173</v>
      </c>
      <c r="Y54" t="n">
        <v>902898.824782586</v>
      </c>
      <c r="Z54" t="n">
        <v>923591.794875274</v>
      </c>
      <c r="AA54" t="n">
        <v>945545.670211219</v>
      </c>
      <c r="AB54" t="n">
        <v>1020439.53395047</v>
      </c>
      <c r="AC54" t="n">
        <v>1087653.13345387</v>
      </c>
      <c r="AD54" t="n">
        <v>1191390.47018126</v>
      </c>
      <c r="AE54" t="n">
        <v>1054652</v>
      </c>
      <c r="AF54" t="n">
        <v>1146635</v>
      </c>
    </row>
    <row r="55">
      <c r="A55" t="s">
        <v>34</v>
      </c>
      <c r="B55" t="s">
        <v>267</v>
      </c>
      <c r="C55" t="s">
        <v>129</v>
      </c>
      <c r="D55" t="s">
        <v>268</v>
      </c>
      <c r="E55" t="s">
        <v>130</v>
      </c>
      <c r="F55" t="n">
        <v>605048.06713398</v>
      </c>
      <c r="G55" t="n">
        <v>553681.622828714</v>
      </c>
      <c r="H55" t="n">
        <v>561640.422191665</v>
      </c>
      <c r="I55" t="n">
        <v>542197.777541057</v>
      </c>
      <c r="J55" t="n">
        <v>547624.068842963</v>
      </c>
      <c r="K55" t="n">
        <v>537396.390608373</v>
      </c>
      <c r="L55" t="n">
        <v>584137.370530381</v>
      </c>
      <c r="M55" t="n">
        <v>591867.836967755</v>
      </c>
      <c r="N55" t="n">
        <v>571361.978098696</v>
      </c>
      <c r="O55" t="n">
        <v>569764.459919899</v>
      </c>
      <c r="P55" t="n">
        <v>589298.713501023</v>
      </c>
      <c r="Q55" t="n">
        <v>564792.367196309</v>
      </c>
      <c r="R55" t="n">
        <v>580321.162018694</v>
      </c>
      <c r="S55" t="n">
        <v>564288.77319447</v>
      </c>
      <c r="T55" t="n">
        <v>566196.730654712</v>
      </c>
      <c r="U55" t="n">
        <v>532212.808538589</v>
      </c>
      <c r="V55" t="n">
        <v>541280.682593378</v>
      </c>
      <c r="W55" t="n">
        <v>509712.047607779</v>
      </c>
      <c r="X55" t="n">
        <v>498865.236346482</v>
      </c>
      <c r="Y55" t="n">
        <v>498630.97454616</v>
      </c>
      <c r="Z55" t="n">
        <v>485464.995913725</v>
      </c>
      <c r="AA55" t="n">
        <v>490891.401951828</v>
      </c>
      <c r="AB55" t="n">
        <v>512852.06497679</v>
      </c>
      <c r="AC55" t="n">
        <v>546484.991404072</v>
      </c>
      <c r="AD55" t="n">
        <v>580448.237112483</v>
      </c>
      <c r="AE55" t="n">
        <v>506982</v>
      </c>
      <c r="AF55" t="n">
        <v>539991</v>
      </c>
    </row>
    <row r="56">
      <c r="A56" t="s">
        <v>34</v>
      </c>
      <c r="B56" t="s">
        <v>269</v>
      </c>
      <c r="C56" t="s">
        <v>129</v>
      </c>
      <c r="D56" t="s">
        <v>270</v>
      </c>
      <c r="E56" t="s">
        <v>130</v>
      </c>
      <c r="F56" t="n">
        <v>4641.84091570598</v>
      </c>
      <c r="G56" t="n">
        <v>4938.12863372977</v>
      </c>
      <c r="H56" t="n">
        <v>6065.42971381284</v>
      </c>
      <c r="I56" t="n">
        <v>6648.55219220935</v>
      </c>
      <c r="J56" t="n">
        <v>6894.79486599488</v>
      </c>
      <c r="K56" t="n">
        <v>7950.19921978404</v>
      </c>
      <c r="L56" t="n">
        <v>9179.21552429172</v>
      </c>
      <c r="M56" t="n">
        <v>9733.08005423203</v>
      </c>
      <c r="N56" t="n">
        <v>8811.30011968418</v>
      </c>
      <c r="O56" t="n">
        <v>8133.50780278539</v>
      </c>
      <c r="P56" t="n">
        <v>7290.05061877152</v>
      </c>
      <c r="Q56" t="n">
        <v>8420.0084646811</v>
      </c>
      <c r="R56" t="n">
        <v>7249.47498819572</v>
      </c>
      <c r="S56" t="n">
        <v>5969.79570396185</v>
      </c>
      <c r="T56" t="n">
        <v>3995.91164055511</v>
      </c>
      <c r="U56" t="n">
        <v>5873.38335713696</v>
      </c>
      <c r="V56" t="n">
        <v>5788.69504749207</v>
      </c>
      <c r="W56" t="n">
        <v>5732.64959060072</v>
      </c>
      <c r="X56" t="n">
        <v>5677.12392702684</v>
      </c>
      <c r="Y56" t="n">
        <v>5490.07840253278</v>
      </c>
      <c r="Z56" t="n">
        <v>7772.31176677742</v>
      </c>
      <c r="AA56" t="n">
        <v>8455.06985596517</v>
      </c>
      <c r="AB56" t="n">
        <v>8054.08058354498</v>
      </c>
      <c r="AC56" t="n">
        <v>13956.2504724772</v>
      </c>
      <c r="AD56" t="n">
        <v>9692.36237388724</v>
      </c>
      <c r="AE56" t="n">
        <v>9133</v>
      </c>
      <c r="AF56" t="n">
        <v>8270</v>
      </c>
    </row>
    <row r="57">
      <c r="A57" t="s">
        <v>34</v>
      </c>
      <c r="B57" t="s">
        <v>271</v>
      </c>
      <c r="C57" t="s">
        <v>129</v>
      </c>
      <c r="D57" t="s">
        <v>272</v>
      </c>
      <c r="E57" t="s">
        <v>130</v>
      </c>
      <c r="F57" t="n">
        <v>22725696.5761559</v>
      </c>
      <c r="G57" t="n">
        <v>23041005.1088045</v>
      </c>
      <c r="H57" t="n">
        <v>23698379.1456929</v>
      </c>
      <c r="I57" t="n">
        <v>24597779.2739538</v>
      </c>
      <c r="J57" t="n">
        <v>25315318.7396626</v>
      </c>
      <c r="K57" t="n">
        <v>26408696.2419459</v>
      </c>
      <c r="L57" t="n">
        <v>27528526.0261622</v>
      </c>
      <c r="M57" t="n">
        <v>28858667.5212908</v>
      </c>
      <c r="N57" t="n">
        <v>30040860.2494998</v>
      </c>
      <c r="O57" t="n">
        <v>31525706.9561504</v>
      </c>
      <c r="P57" t="n">
        <v>32858725.6346031</v>
      </c>
      <c r="Q57" t="n">
        <v>34135511.1888762</v>
      </c>
      <c r="R57" t="n">
        <v>34229182.237628</v>
      </c>
      <c r="S57" t="n">
        <v>34510965.9730778</v>
      </c>
      <c r="T57" t="n">
        <v>32158846.2516364</v>
      </c>
      <c r="U57" t="n">
        <v>32572103.2818282</v>
      </c>
      <c r="V57" t="n">
        <v>33227422.8043789</v>
      </c>
      <c r="W57" t="n">
        <v>32782082.052078</v>
      </c>
      <c r="X57" t="n">
        <v>33668388.7558741</v>
      </c>
      <c r="Y57" t="n">
        <v>35213921.7132966</v>
      </c>
      <c r="Z57" t="n">
        <v>36492906.6025327</v>
      </c>
      <c r="AA57" t="n">
        <v>37434252.6111736</v>
      </c>
      <c r="AB57" t="n">
        <v>38940333.9145117</v>
      </c>
      <c r="AC57" t="n">
        <v>41218804.2414345</v>
      </c>
      <c r="AD57" t="n">
        <v>43242756.7046326</v>
      </c>
      <c r="AE57" t="n">
        <v>41249705</v>
      </c>
      <c r="AF57" t="n">
        <v>44346966</v>
      </c>
    </row>
    <row r="58">
      <c r="A58" t="s">
        <v>34</v>
      </c>
      <c r="B58" t="s">
        <v>273</v>
      </c>
      <c r="C58" t="s">
        <v>129</v>
      </c>
      <c r="D58" t="s">
        <v>274</v>
      </c>
      <c r="E58" t="s">
        <v>130</v>
      </c>
      <c r="F58" t="n">
        <v>22721025.7412354</v>
      </c>
      <c r="G58" t="n">
        <v>23036108.174055</v>
      </c>
      <c r="H58" t="n">
        <v>23692665.3157391</v>
      </c>
      <c r="I58" t="n">
        <v>24591619.8346798</v>
      </c>
      <c r="J58" t="n">
        <v>25308946.057201</v>
      </c>
      <c r="K58" t="n">
        <v>26401550.678182</v>
      </c>
      <c r="L58" t="n">
        <v>27520484.3968981</v>
      </c>
      <c r="M58" t="n">
        <v>28850164.063272</v>
      </c>
      <c r="N58" t="n">
        <v>30032887.5506136</v>
      </c>
      <c r="O58" t="n">
        <v>31518121.4143353</v>
      </c>
      <c r="P58" t="n">
        <v>32851687.24271</v>
      </c>
      <c r="Q58" t="n">
        <v>34127571.485313</v>
      </c>
      <c r="R58" t="n">
        <v>34222107.5287451</v>
      </c>
      <c r="S58" t="n">
        <v>34504847.9723225</v>
      </c>
      <c r="T58" t="n">
        <v>32154348.897895</v>
      </c>
      <c r="U58" t="n">
        <v>32566042.2911929</v>
      </c>
      <c r="V58" t="n">
        <v>33221410.8224358</v>
      </c>
      <c r="W58" t="n">
        <v>32776132.2090086</v>
      </c>
      <c r="X58" t="n">
        <v>33662467.041614</v>
      </c>
      <c r="Y58" t="n">
        <v>35208130.6735572</v>
      </c>
      <c r="Z58" t="n">
        <v>36485034.3245836</v>
      </c>
      <c r="AA58" t="n">
        <v>37425737.4481405</v>
      </c>
      <c r="AB58" t="n">
        <v>38932158.6382017</v>
      </c>
      <c r="AC58" t="n">
        <v>41205067.5770248</v>
      </c>
      <c r="AD58" t="n">
        <v>43233066.2154104</v>
      </c>
      <c r="AE58" t="n">
        <v>41240572</v>
      </c>
      <c r="AF58" t="n">
        <v>44338696</v>
      </c>
    </row>
    <row r="59">
      <c r="A59" t="s">
        <v>34</v>
      </c>
      <c r="B59" t="s">
        <v>275</v>
      </c>
      <c r="C59" t="s">
        <v>129</v>
      </c>
      <c r="D59" t="s">
        <v>276</v>
      </c>
      <c r="E59" t="s">
        <v>130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>
      <c r="A2" t="s">
        <v>36</v>
      </c>
      <c r="B2" t="s">
        <v>84</v>
      </c>
      <c r="C2" t="s">
        <v>129</v>
      </c>
      <c r="D2" t="s">
        <v>86</v>
      </c>
      <c r="E2" t="s">
        <v>130</v>
      </c>
      <c r="F2" t="n">
        <v>3510570.11694999</v>
      </c>
      <c r="G2" t="n">
        <v>3678957.99549245</v>
      </c>
      <c r="H2" t="n">
        <v>3415142.71996533</v>
      </c>
      <c r="I2" t="n">
        <v>3533467.54981254</v>
      </c>
      <c r="J2" t="n">
        <v>3556149.77527725</v>
      </c>
      <c r="K2" t="n">
        <v>3291849.12095709</v>
      </c>
      <c r="L2" t="n">
        <v>3666558.88031135</v>
      </c>
      <c r="M2" t="n">
        <v>3431988.53821057</v>
      </c>
      <c r="N2" t="n">
        <v>3249247.83024009</v>
      </c>
      <c r="O2" t="n">
        <v>3754696.07363024</v>
      </c>
      <c r="P2" t="n">
        <v>3528026.6748544</v>
      </c>
      <c r="Q2" t="n">
        <v>3447533.04886293</v>
      </c>
      <c r="R2" t="n">
        <v>3167284.69254535</v>
      </c>
      <c r="S2" t="n">
        <v>3674151.2096427</v>
      </c>
      <c r="T2" t="n">
        <v>3472521.52623453</v>
      </c>
      <c r="U2" t="n">
        <v>3029673.88552705</v>
      </c>
      <c r="V2" t="n">
        <v>3298852.8466248</v>
      </c>
      <c r="W2" t="n">
        <v>2954862.69927938</v>
      </c>
      <c r="X2" t="n">
        <v>3251513.85014776</v>
      </c>
      <c r="Y2" t="n">
        <v>3535686.01785591</v>
      </c>
      <c r="Z2" t="n">
        <v>3504328.42373483</v>
      </c>
      <c r="AA2" t="n">
        <v>3756604.626624</v>
      </c>
      <c r="AB2" t="n">
        <v>3593633.12870494</v>
      </c>
      <c r="AC2" t="n">
        <v>3712203.86596106</v>
      </c>
      <c r="AD2" t="n">
        <v>3732557.69777139</v>
      </c>
      <c r="AE2" t="n">
        <v>3664212</v>
      </c>
      <c r="AF2" t="n">
        <v>3682520</v>
      </c>
    </row>
    <row r="3">
      <c r="A3" t="s">
        <v>36</v>
      </c>
      <c r="B3" t="s">
        <v>163</v>
      </c>
      <c r="C3" t="s">
        <v>129</v>
      </c>
      <c r="D3" t="s">
        <v>164</v>
      </c>
      <c r="E3" t="s">
        <v>130</v>
      </c>
      <c r="F3" t="n">
        <v>139815.540340362</v>
      </c>
      <c r="G3" t="n">
        <v>145273.069746261</v>
      </c>
      <c r="H3" t="n">
        <v>149162.735031542</v>
      </c>
      <c r="I3" t="n">
        <v>118672.148517336</v>
      </c>
      <c r="J3" t="n">
        <v>106116.737858503</v>
      </c>
      <c r="K3" t="n">
        <v>103697.186413014</v>
      </c>
      <c r="L3" t="n">
        <v>111453.301309257</v>
      </c>
      <c r="M3" t="n">
        <v>114969.145288689</v>
      </c>
      <c r="N3" t="n">
        <v>114071.991258494</v>
      </c>
      <c r="O3" t="n">
        <v>119748.857827368</v>
      </c>
      <c r="P3" t="n">
        <v>135400.272159009</v>
      </c>
      <c r="Q3" t="n">
        <v>167669.152308238</v>
      </c>
      <c r="R3" t="n">
        <v>147123.730085785</v>
      </c>
      <c r="S3" t="n">
        <v>147975.154213073</v>
      </c>
      <c r="T3" t="n">
        <v>175629.058087524</v>
      </c>
      <c r="U3" t="n">
        <v>114560.180159647</v>
      </c>
      <c r="V3" t="n">
        <v>114935.47968515</v>
      </c>
      <c r="W3" t="n">
        <v>97886.1240650401</v>
      </c>
      <c r="X3" t="n">
        <v>112393.945208213</v>
      </c>
      <c r="Y3" t="n">
        <v>120290.511991046</v>
      </c>
      <c r="Z3" t="n">
        <v>102398.981431291</v>
      </c>
      <c r="AA3" t="n">
        <v>90718.9977999264</v>
      </c>
      <c r="AB3" t="n">
        <v>115143.263886415</v>
      </c>
      <c r="AC3" t="n">
        <v>186647.72157805</v>
      </c>
      <c r="AD3" t="n">
        <v>254087.812327195</v>
      </c>
      <c r="AE3" t="n">
        <v>202823</v>
      </c>
      <c r="AF3" t="n">
        <v>208566</v>
      </c>
    </row>
    <row r="4">
      <c r="A4" t="s">
        <v>36</v>
      </c>
      <c r="B4" t="s">
        <v>165</v>
      </c>
      <c r="C4" t="s">
        <v>129</v>
      </c>
      <c r="D4" t="s">
        <v>166</v>
      </c>
      <c r="E4" t="s">
        <v>130</v>
      </c>
      <c r="F4" t="n">
        <v>9262458.08141993</v>
      </c>
      <c r="G4" t="n">
        <v>9736539.060436</v>
      </c>
      <c r="H4" t="n">
        <v>11358370.2375331</v>
      </c>
      <c r="I4" t="n">
        <v>12836622.4907026</v>
      </c>
      <c r="J4" t="n">
        <v>14138693.7314797</v>
      </c>
      <c r="K4" t="n">
        <v>16148053.6948211</v>
      </c>
      <c r="L4" t="n">
        <v>17358158.2208402</v>
      </c>
      <c r="M4" t="n">
        <v>18669356.920531</v>
      </c>
      <c r="N4" t="n">
        <v>20693930.1892722</v>
      </c>
      <c r="O4" t="n">
        <v>22678769.1349181</v>
      </c>
      <c r="P4" t="n">
        <v>24600555.1104107</v>
      </c>
      <c r="Q4" t="n">
        <v>26756034.5345835</v>
      </c>
      <c r="R4" t="n">
        <v>27517967.484817</v>
      </c>
      <c r="S4" t="n">
        <v>28290732.5605718</v>
      </c>
      <c r="T4" t="n">
        <v>23259875.2413912</v>
      </c>
      <c r="U4" t="n">
        <v>26358342.2583095</v>
      </c>
      <c r="V4" t="n">
        <v>27875864.799676</v>
      </c>
      <c r="W4" t="n">
        <v>26628898.2405396</v>
      </c>
      <c r="X4" t="n">
        <v>27460190.9865282</v>
      </c>
      <c r="Y4" t="n">
        <v>29657910.4848572</v>
      </c>
      <c r="Z4" t="n">
        <v>31616448.8095904</v>
      </c>
      <c r="AA4" t="n">
        <v>32235695.7522129</v>
      </c>
      <c r="AB4" t="n">
        <v>33246928.7655069</v>
      </c>
      <c r="AC4" t="n">
        <v>34575141.2948059</v>
      </c>
      <c r="AD4" t="n">
        <v>36312159.334074</v>
      </c>
      <c r="AE4" t="n">
        <v>34858952</v>
      </c>
      <c r="AF4" t="n">
        <v>37707429</v>
      </c>
    </row>
    <row r="5">
      <c r="A5" t="s">
        <v>36</v>
      </c>
      <c r="B5" t="s">
        <v>167</v>
      </c>
      <c r="C5" t="s">
        <v>129</v>
      </c>
      <c r="D5" t="s">
        <v>168</v>
      </c>
      <c r="E5" t="s">
        <v>130</v>
      </c>
      <c r="F5" t="n">
        <v>3639030.40621703</v>
      </c>
      <c r="G5" t="n">
        <v>3613653.39669712</v>
      </c>
      <c r="H5" t="n">
        <v>3363326.08950809</v>
      </c>
      <c r="I5" t="n">
        <v>3366247.71802591</v>
      </c>
      <c r="J5" t="n">
        <v>3229300.51607191</v>
      </c>
      <c r="K5" t="n">
        <v>3482424.28384348</v>
      </c>
      <c r="L5" t="n">
        <v>3599822.33664124</v>
      </c>
      <c r="M5" t="n">
        <v>3827675.56788273</v>
      </c>
      <c r="N5" t="n">
        <v>3887602.8344008</v>
      </c>
      <c r="O5" t="n">
        <v>3808076.00600369</v>
      </c>
      <c r="P5" t="n">
        <v>3701261.98758873</v>
      </c>
      <c r="Q5" t="n">
        <v>3789564.75124857</v>
      </c>
      <c r="R5" t="n">
        <v>3428926.54250997</v>
      </c>
      <c r="S5" t="n">
        <v>3366052.2986317</v>
      </c>
      <c r="T5" t="n">
        <v>3294525.64671307</v>
      </c>
      <c r="U5" t="n">
        <v>3209851.61733947</v>
      </c>
      <c r="V5" t="n">
        <v>3297610.32801025</v>
      </c>
      <c r="W5" t="n">
        <v>3397326.7387555</v>
      </c>
      <c r="X5" t="n">
        <v>3492138.50061828</v>
      </c>
      <c r="Y5" t="n">
        <v>3472569.95203764</v>
      </c>
      <c r="Z5" t="n">
        <v>3608115.60761899</v>
      </c>
      <c r="AA5" t="n">
        <v>3720515.46170775</v>
      </c>
      <c r="AB5" t="n">
        <v>3766203.07172315</v>
      </c>
      <c r="AC5" t="n">
        <v>3941560.58880514</v>
      </c>
      <c r="AD5" t="n">
        <v>4015807.01105478</v>
      </c>
      <c r="AE5" t="n">
        <v>4065414</v>
      </c>
      <c r="AF5" t="n">
        <v>4329222</v>
      </c>
    </row>
    <row r="6">
      <c r="A6" t="s">
        <v>36</v>
      </c>
      <c r="B6" t="s">
        <v>169</v>
      </c>
      <c r="C6" t="s">
        <v>129</v>
      </c>
      <c r="D6" t="s">
        <v>170</v>
      </c>
      <c r="E6" t="s">
        <v>130</v>
      </c>
      <c r="F6" t="n">
        <v>555351.242574004</v>
      </c>
      <c r="G6" t="n">
        <v>554794.415213616</v>
      </c>
      <c r="H6" t="n">
        <v>609993.621951318</v>
      </c>
      <c r="I6" t="n">
        <v>638213.863545576</v>
      </c>
      <c r="J6" t="n">
        <v>621920.584137739</v>
      </c>
      <c r="K6" t="n">
        <v>680969.885516232</v>
      </c>
      <c r="L6" t="n">
        <v>773562.681562102</v>
      </c>
      <c r="M6" t="n">
        <v>728223.900109506</v>
      </c>
      <c r="N6" t="n">
        <v>664974.01945132</v>
      </c>
      <c r="O6" t="n">
        <v>638079.032923371</v>
      </c>
      <c r="P6" t="n">
        <v>572796.064347694</v>
      </c>
      <c r="Q6" t="n">
        <v>582310.906618176</v>
      </c>
      <c r="R6" t="n">
        <v>555512.092519171</v>
      </c>
      <c r="S6" t="n">
        <v>490372.326643212</v>
      </c>
      <c r="T6" t="n">
        <v>400423.714090831</v>
      </c>
      <c r="U6" t="n">
        <v>392158.353103601</v>
      </c>
      <c r="V6" t="n">
        <v>460403.169893705</v>
      </c>
      <c r="W6" t="n">
        <v>432460.397543553</v>
      </c>
      <c r="X6" t="n">
        <v>438052.200391688</v>
      </c>
      <c r="Y6" t="n">
        <v>470335.489609441</v>
      </c>
      <c r="Z6" t="n">
        <v>480527.752234272</v>
      </c>
      <c r="AA6" t="n">
        <v>500155.027405602</v>
      </c>
      <c r="AB6" t="n">
        <v>532230.499967927</v>
      </c>
      <c r="AC6" t="n">
        <v>526640.77216968</v>
      </c>
      <c r="AD6" t="n">
        <v>487250.297420103</v>
      </c>
      <c r="AE6" t="n">
        <v>414706</v>
      </c>
      <c r="AF6" t="n">
        <v>451161</v>
      </c>
    </row>
    <row r="7">
      <c r="A7" t="s">
        <v>36</v>
      </c>
      <c r="B7" t="s">
        <v>171</v>
      </c>
      <c r="C7" t="s">
        <v>129</v>
      </c>
      <c r="D7" t="s">
        <v>172</v>
      </c>
      <c r="E7" t="s">
        <v>130</v>
      </c>
      <c r="F7" t="n">
        <v>615683.58097944</v>
      </c>
      <c r="G7" t="n">
        <v>612055.193885407</v>
      </c>
      <c r="H7" t="n">
        <v>686750.454341368</v>
      </c>
      <c r="I7" t="n">
        <v>689892.352394638</v>
      </c>
      <c r="J7" t="n">
        <v>750542.901683091</v>
      </c>
      <c r="K7" t="n">
        <v>832691.28128077</v>
      </c>
      <c r="L7" t="n">
        <v>961165.26039922</v>
      </c>
      <c r="M7" t="n">
        <v>993347.700151414</v>
      </c>
      <c r="N7" t="n">
        <v>1020721.80075673</v>
      </c>
      <c r="O7" t="n">
        <v>1065461.45127761</v>
      </c>
      <c r="P7" t="n">
        <v>1076647.83543231</v>
      </c>
      <c r="Q7" t="n">
        <v>1090557.71380551</v>
      </c>
      <c r="R7" t="n">
        <v>1045566.95257287</v>
      </c>
      <c r="S7" t="n">
        <v>996317.413554226</v>
      </c>
      <c r="T7" t="n">
        <v>908346.271017375</v>
      </c>
      <c r="U7" t="n">
        <v>1021678.03711141</v>
      </c>
      <c r="V7" t="n">
        <v>1045249.17311908</v>
      </c>
      <c r="W7" t="n">
        <v>950623.707404012</v>
      </c>
      <c r="X7" t="n">
        <v>970295.671250952</v>
      </c>
      <c r="Y7" t="n">
        <v>1025163.80997563</v>
      </c>
      <c r="Z7" t="n">
        <v>1068516.7607258</v>
      </c>
      <c r="AA7" t="n">
        <v>1123296.31384686</v>
      </c>
      <c r="AB7" t="n">
        <v>1160235.9590666</v>
      </c>
      <c r="AC7" t="n">
        <v>1198534.2162727</v>
      </c>
      <c r="AD7" t="n">
        <v>1221840.45499891</v>
      </c>
      <c r="AE7" t="n">
        <v>1214757</v>
      </c>
      <c r="AF7" t="n">
        <v>1332746</v>
      </c>
    </row>
    <row r="8">
      <c r="A8" t="s">
        <v>36</v>
      </c>
      <c r="B8" t="s">
        <v>173</v>
      </c>
      <c r="C8" t="s">
        <v>129</v>
      </c>
      <c r="D8" t="s">
        <v>174</v>
      </c>
      <c r="E8" t="s">
        <v>130</v>
      </c>
      <c r="F8" t="n">
        <v>1823454.54026255</v>
      </c>
      <c r="G8" t="n">
        <v>1739598.24639286</v>
      </c>
      <c r="H8" t="n">
        <v>1820561.95914136</v>
      </c>
      <c r="I8" t="n">
        <v>1948855.08137577</v>
      </c>
      <c r="J8" t="n">
        <v>1972880.80939494</v>
      </c>
      <c r="K8" t="n">
        <v>1505599.62264892</v>
      </c>
      <c r="L8" t="n">
        <v>1430773.13177942</v>
      </c>
      <c r="M8" t="n">
        <v>1540219.04592195</v>
      </c>
      <c r="N8" t="n">
        <v>1588935.17727613</v>
      </c>
      <c r="O8" t="n">
        <v>1642708.61076495</v>
      </c>
      <c r="P8" t="n">
        <v>1876354.81776573</v>
      </c>
      <c r="Q8" t="n">
        <v>1826708.86216811</v>
      </c>
      <c r="R8" t="n">
        <v>1806582.27158763</v>
      </c>
      <c r="S8" t="n">
        <v>1909718.39459477</v>
      </c>
      <c r="T8" t="n">
        <v>1592966.71338052</v>
      </c>
      <c r="U8" t="n">
        <v>1699601.44148268</v>
      </c>
      <c r="V8" t="n">
        <v>1713195.44098505</v>
      </c>
      <c r="W8" t="n">
        <v>1565986.27616793</v>
      </c>
      <c r="X8" t="n">
        <v>1523903.02831438</v>
      </c>
      <c r="Y8" t="n">
        <v>1572198.71872187</v>
      </c>
      <c r="Z8" t="n">
        <v>1403014.85375995</v>
      </c>
      <c r="AA8" t="n">
        <v>1358584.41268919</v>
      </c>
      <c r="AB8" t="n">
        <v>1464696.71249779</v>
      </c>
      <c r="AC8" t="n">
        <v>1565147.24035335</v>
      </c>
      <c r="AD8" t="n">
        <v>1503947.47337745</v>
      </c>
      <c r="AE8" t="n">
        <v>1278754</v>
      </c>
      <c r="AF8" t="n">
        <v>1292285</v>
      </c>
    </row>
    <row r="9">
      <c r="A9" t="s">
        <v>36</v>
      </c>
      <c r="B9" t="s">
        <v>175</v>
      </c>
      <c r="C9" t="s">
        <v>129</v>
      </c>
      <c r="D9" t="s">
        <v>176</v>
      </c>
      <c r="E9" t="s">
        <v>130</v>
      </c>
      <c r="F9" t="n">
        <v>1374162.52868123</v>
      </c>
      <c r="G9" t="n">
        <v>1220195.55672098</v>
      </c>
      <c r="H9" t="n">
        <v>1259225.29538048</v>
      </c>
      <c r="I9" t="n">
        <v>1158069.50573356</v>
      </c>
      <c r="J9" t="n">
        <v>1072785.57381183</v>
      </c>
      <c r="K9" t="n">
        <v>1226715.0387699</v>
      </c>
      <c r="L9" t="n">
        <v>1193877.56516417</v>
      </c>
      <c r="M9" t="n">
        <v>1223975.28096287</v>
      </c>
      <c r="N9" t="n">
        <v>1221755.57150218</v>
      </c>
      <c r="O9" t="n">
        <v>1326597.82159047</v>
      </c>
      <c r="P9" t="n">
        <v>1458662.73810486</v>
      </c>
      <c r="Q9" t="n">
        <v>1511682.53068295</v>
      </c>
      <c r="R9" t="n">
        <v>1566388.82881503</v>
      </c>
      <c r="S9" t="n">
        <v>1540352.40542995</v>
      </c>
      <c r="T9" t="n">
        <v>1238190.2790704</v>
      </c>
      <c r="U9" t="n">
        <v>1347388.63536889</v>
      </c>
      <c r="V9" t="n">
        <v>1432060.84651941</v>
      </c>
      <c r="W9" t="n">
        <v>1479508.68356866</v>
      </c>
      <c r="X9" t="n">
        <v>1582033.39492016</v>
      </c>
      <c r="Y9" t="n">
        <v>1714420.0873587</v>
      </c>
      <c r="Z9" t="n">
        <v>1768740.6170129</v>
      </c>
      <c r="AA9" t="n">
        <v>1768395.18950208</v>
      </c>
      <c r="AB9" t="n">
        <v>1714495.19026466</v>
      </c>
      <c r="AC9" t="n">
        <v>1747212.19430529</v>
      </c>
      <c r="AD9" t="n">
        <v>1665275.2018965</v>
      </c>
      <c r="AE9" t="n">
        <v>1672909</v>
      </c>
      <c r="AF9" t="n">
        <v>1908537</v>
      </c>
    </row>
    <row r="10">
      <c r="A10" t="s">
        <v>36</v>
      </c>
      <c r="B10" t="s">
        <v>177</v>
      </c>
      <c r="C10" t="s">
        <v>129</v>
      </c>
      <c r="D10" t="s">
        <v>178</v>
      </c>
      <c r="E10" t="s">
        <v>130</v>
      </c>
      <c r="F10" t="n">
        <v>1900082.98541028</v>
      </c>
      <c r="G10" t="n">
        <v>1747028.97974833</v>
      </c>
      <c r="H10" t="n">
        <v>1852377.86722575</v>
      </c>
      <c r="I10" t="n">
        <v>1748839.11541447</v>
      </c>
      <c r="J10" t="n">
        <v>1588509.06406992</v>
      </c>
      <c r="K10" t="n">
        <v>1728680.86349482</v>
      </c>
      <c r="L10" t="n">
        <v>1777216.65436789</v>
      </c>
      <c r="M10" t="n">
        <v>1861061.20754305</v>
      </c>
      <c r="N10" t="n">
        <v>1971075.6972029</v>
      </c>
      <c r="O10" t="n">
        <v>2112286.44967858</v>
      </c>
      <c r="P10" t="n">
        <v>2267052.13368906</v>
      </c>
      <c r="Q10" t="n">
        <v>2380268.0310696</v>
      </c>
      <c r="R10" t="n">
        <v>2359507.43428948</v>
      </c>
      <c r="S10" t="n">
        <v>2381330.3761673</v>
      </c>
      <c r="T10" t="n">
        <v>2125033.23808983</v>
      </c>
      <c r="U10" t="n">
        <v>2301807.07437987</v>
      </c>
      <c r="V10" t="n">
        <v>2475664.51152386</v>
      </c>
      <c r="W10" t="n">
        <v>2523866.77883865</v>
      </c>
      <c r="X10" t="n">
        <v>2533787.39509253</v>
      </c>
      <c r="Y10" t="n">
        <v>2706983.11788431</v>
      </c>
      <c r="Z10" t="n">
        <v>2799178.40531996</v>
      </c>
      <c r="AA10" t="n">
        <v>2811539.80862285</v>
      </c>
      <c r="AB10" t="n">
        <v>2807437.85657299</v>
      </c>
      <c r="AC10" t="n">
        <v>2835753.89992862</v>
      </c>
      <c r="AD10" t="n">
        <v>2808358.31814442</v>
      </c>
      <c r="AE10" t="n">
        <v>2866326</v>
      </c>
      <c r="AF10" t="n">
        <v>3115776</v>
      </c>
    </row>
    <row r="11">
      <c r="A11" t="s">
        <v>36</v>
      </c>
      <c r="B11" t="s">
        <v>179</v>
      </c>
      <c r="C11" t="s">
        <v>129</v>
      </c>
      <c r="D11" t="s">
        <v>180</v>
      </c>
      <c r="E11" t="s">
        <v>130</v>
      </c>
      <c r="F11" t="n">
        <v>571644.34546664</v>
      </c>
      <c r="G11" t="n">
        <v>561490.581221506</v>
      </c>
      <c r="H11" t="n">
        <v>624033.105236835</v>
      </c>
      <c r="I11" t="n">
        <v>614737.626302449</v>
      </c>
      <c r="J11" t="n">
        <v>541066.096451275</v>
      </c>
      <c r="K11" t="n">
        <v>539700.705527192</v>
      </c>
      <c r="L11" t="n">
        <v>610903.086670335</v>
      </c>
      <c r="M11" t="n">
        <v>661434.456572086</v>
      </c>
      <c r="N11" t="n">
        <v>761568.556732094</v>
      </c>
      <c r="O11" t="n">
        <v>801725.117611099</v>
      </c>
      <c r="P11" t="n">
        <v>831469.04953938</v>
      </c>
      <c r="Q11" t="n">
        <v>889789.691307137</v>
      </c>
      <c r="R11" t="n">
        <v>823206.311344485</v>
      </c>
      <c r="S11" t="n">
        <v>865879.351556461</v>
      </c>
      <c r="T11" t="n">
        <v>891544.546970568</v>
      </c>
      <c r="U11" t="n">
        <v>960692.44515647</v>
      </c>
      <c r="V11" t="n">
        <v>1048924.39007493</v>
      </c>
      <c r="W11" t="n">
        <v>1049562.18034459</v>
      </c>
      <c r="X11" t="n">
        <v>952874.278234938</v>
      </c>
      <c r="Y11" t="n">
        <v>993402.851718802</v>
      </c>
      <c r="Z11" t="n">
        <v>1031327.22309522</v>
      </c>
      <c r="AA11" t="n">
        <v>1043688.80110565</v>
      </c>
      <c r="AB11" t="n">
        <v>1090508.4917427</v>
      </c>
      <c r="AC11" t="n">
        <v>1086317.25260297</v>
      </c>
      <c r="AD11" t="n">
        <v>1142921.57968843</v>
      </c>
      <c r="AE11" t="n">
        <v>1193417</v>
      </c>
      <c r="AF11" t="n">
        <v>1207239</v>
      </c>
    </row>
    <row r="12">
      <c r="A12" t="s">
        <v>36</v>
      </c>
      <c r="B12" t="s">
        <v>181</v>
      </c>
      <c r="C12" t="s">
        <v>129</v>
      </c>
      <c r="D12" t="s">
        <v>182</v>
      </c>
      <c r="E12" t="s">
        <v>130</v>
      </c>
      <c r="F12" t="n">
        <v>803752.486559566</v>
      </c>
      <c r="G12" t="n">
        <v>814303.232824767</v>
      </c>
      <c r="H12" t="n">
        <v>886114.908965402</v>
      </c>
      <c r="I12" t="n">
        <v>1001299.33573435</v>
      </c>
      <c r="J12" t="n">
        <v>1017299.64471061</v>
      </c>
      <c r="K12" t="n">
        <v>1166238.49663542</v>
      </c>
      <c r="L12" t="n">
        <v>1326814.14395488</v>
      </c>
      <c r="M12" t="n">
        <v>1452675.74276307</v>
      </c>
      <c r="N12" t="n">
        <v>1534073.7784772</v>
      </c>
      <c r="O12" t="n">
        <v>1670570.71639388</v>
      </c>
      <c r="P12" t="n">
        <v>1803549.29062854</v>
      </c>
      <c r="Q12" t="n">
        <v>1956609.00535389</v>
      </c>
      <c r="R12" t="n">
        <v>2080261.50700204</v>
      </c>
      <c r="S12" t="n">
        <v>2251530.40732843</v>
      </c>
      <c r="T12" t="n">
        <v>1792260.2428452</v>
      </c>
      <c r="U12" t="n">
        <v>1874140.17242712</v>
      </c>
      <c r="V12" t="n">
        <v>2040752.31071992</v>
      </c>
      <c r="W12" t="n">
        <v>2013023.28899842</v>
      </c>
      <c r="X12" t="n">
        <v>2033872.84098727</v>
      </c>
      <c r="Y12" t="n">
        <v>2193322.63184761</v>
      </c>
      <c r="Z12" t="n">
        <v>2440316.33322126</v>
      </c>
      <c r="AA12" t="n">
        <v>2548236.11767026</v>
      </c>
      <c r="AB12" t="n">
        <v>2686278.81472732</v>
      </c>
      <c r="AC12" t="n">
        <v>3013573.03035799</v>
      </c>
      <c r="AD12" t="n">
        <v>3082341.67255971</v>
      </c>
      <c r="AE12" t="n">
        <v>2922406</v>
      </c>
      <c r="AF12" t="n">
        <v>3319846</v>
      </c>
    </row>
    <row r="13">
      <c r="A13" t="s">
        <v>36</v>
      </c>
      <c r="B13" t="s">
        <v>183</v>
      </c>
      <c r="C13" t="s">
        <v>129</v>
      </c>
      <c r="D13" t="s">
        <v>184</v>
      </c>
      <c r="E13" t="s">
        <v>130</v>
      </c>
      <c r="F13" t="n">
        <v>1387621.5655919</v>
      </c>
      <c r="G13" t="n">
        <v>1389557.47523412</v>
      </c>
      <c r="H13" t="n">
        <v>1614090.44508126</v>
      </c>
      <c r="I13" t="n">
        <v>1591836.66043127</v>
      </c>
      <c r="J13" t="n">
        <v>1610087.25378425</v>
      </c>
      <c r="K13" t="n">
        <v>1924115.98358057</v>
      </c>
      <c r="L13" t="n">
        <v>2022735.17494258</v>
      </c>
      <c r="M13" t="n">
        <v>2141122.58100072</v>
      </c>
      <c r="N13" t="n">
        <v>2250228.78792531</v>
      </c>
      <c r="O13" t="n">
        <v>2435769.71090758</v>
      </c>
      <c r="P13" t="n">
        <v>2533463.15780513</v>
      </c>
      <c r="Q13" t="n">
        <v>2835769.39644864</v>
      </c>
      <c r="R13" t="n">
        <v>2844246.99485618</v>
      </c>
      <c r="S13" t="n">
        <v>2871548.62468583</v>
      </c>
      <c r="T13" t="n">
        <v>1890434.28148347</v>
      </c>
      <c r="U13" t="n">
        <v>2040276.31450867</v>
      </c>
      <c r="V13" t="n">
        <v>2347399.75099511</v>
      </c>
      <c r="W13" t="n">
        <v>2200910.07308243</v>
      </c>
      <c r="X13" t="n">
        <v>2287954.72741537</v>
      </c>
      <c r="Y13" t="n">
        <v>2373663.21092299</v>
      </c>
      <c r="Z13" t="n">
        <v>2516097.17720277</v>
      </c>
      <c r="AA13" t="n">
        <v>2602293.17681317</v>
      </c>
      <c r="AB13" t="n">
        <v>2862721.35403421</v>
      </c>
      <c r="AC13" t="n">
        <v>3057006.5596966</v>
      </c>
      <c r="AD13" t="n">
        <v>3015938.05198531</v>
      </c>
      <c r="AE13" t="n">
        <v>2736738</v>
      </c>
      <c r="AF13" t="n">
        <v>3157079</v>
      </c>
    </row>
    <row r="14">
      <c r="A14" t="s">
        <v>36</v>
      </c>
      <c r="B14" t="s">
        <v>185</v>
      </c>
      <c r="C14" t="s">
        <v>129</v>
      </c>
      <c r="D14" t="s">
        <v>186</v>
      </c>
      <c r="E14" t="s">
        <v>130</v>
      </c>
      <c r="F14" t="n">
        <v>101450.302290105</v>
      </c>
      <c r="G14" t="n">
        <v>190017.189148419</v>
      </c>
      <c r="H14" t="n">
        <v>438252.335682557</v>
      </c>
      <c r="I14" t="n">
        <v>684531.023485812</v>
      </c>
      <c r="J14" t="n">
        <v>1062550.0897083</v>
      </c>
      <c r="K14" t="n">
        <v>1155558.71380627</v>
      </c>
      <c r="L14" t="n">
        <v>1283122.91966983</v>
      </c>
      <c r="M14" t="n">
        <v>1401223.90156464</v>
      </c>
      <c r="N14" t="n">
        <v>2181706.45381801</v>
      </c>
      <c r="O14" t="n">
        <v>2908758.6757117</v>
      </c>
      <c r="P14" t="n">
        <v>3333787.13141541</v>
      </c>
      <c r="Q14" t="n">
        <v>3788615.94933744</v>
      </c>
      <c r="R14" t="n">
        <v>3911705.13733877</v>
      </c>
      <c r="S14" t="n">
        <v>4162377.30964011</v>
      </c>
      <c r="T14" t="n">
        <v>3603215.53121553</v>
      </c>
      <c r="U14" t="n">
        <v>4639252.22174297</v>
      </c>
      <c r="V14" t="n">
        <v>4440231.81279927</v>
      </c>
      <c r="W14" t="n">
        <v>3410388.23110101</v>
      </c>
      <c r="X14" t="n">
        <v>3032906.50554852</v>
      </c>
      <c r="Y14" t="n">
        <v>3071911.59382106</v>
      </c>
      <c r="Z14" t="n">
        <v>3186253.06754861</v>
      </c>
      <c r="AA14" t="n">
        <v>3484697.04150147</v>
      </c>
      <c r="AB14" t="n">
        <v>3652829.15615688</v>
      </c>
      <c r="AC14" t="n">
        <v>4002390.5496478</v>
      </c>
      <c r="AD14" t="n">
        <v>4310314.59934622</v>
      </c>
      <c r="AE14" t="n">
        <v>4386093</v>
      </c>
      <c r="AF14" t="n">
        <v>4597891</v>
      </c>
    </row>
    <row r="15">
      <c r="A15" t="s">
        <v>36</v>
      </c>
      <c r="B15" t="s">
        <v>187</v>
      </c>
      <c r="C15" t="s">
        <v>129</v>
      </c>
      <c r="D15" t="s">
        <v>188</v>
      </c>
      <c r="E15" t="s">
        <v>130</v>
      </c>
      <c r="F15" t="n">
        <v>315686.507952396</v>
      </c>
      <c r="G15" t="n">
        <v>460229.939791709</v>
      </c>
      <c r="H15" t="n">
        <v>796655.719024984</v>
      </c>
      <c r="I15" t="n">
        <v>1141691.29102072</v>
      </c>
      <c r="J15" t="n">
        <v>1661184.43868168</v>
      </c>
      <c r="K15" t="n">
        <v>2135377.18125995</v>
      </c>
      <c r="L15" t="n">
        <v>2358283.62342316</v>
      </c>
      <c r="M15" t="n">
        <v>2618690.71968029</v>
      </c>
      <c r="N15" t="n">
        <v>3431317.31500002</v>
      </c>
      <c r="O15" t="n">
        <v>4328416.63613668</v>
      </c>
      <c r="P15" t="n">
        <v>4961548.78340795</v>
      </c>
      <c r="Q15" t="n">
        <v>5523576.45736962</v>
      </c>
      <c r="R15" t="n">
        <v>5666963.35134716</v>
      </c>
      <c r="S15" t="n">
        <v>6010384.04786016</v>
      </c>
      <c r="T15" t="n">
        <v>4646639.21805152</v>
      </c>
      <c r="U15" t="n">
        <v>5908610.80444726</v>
      </c>
      <c r="V15" t="n">
        <v>5618624.76834127</v>
      </c>
      <c r="W15" t="n">
        <v>4514022.84353671</v>
      </c>
      <c r="X15" t="n">
        <v>4171316.04911428</v>
      </c>
      <c r="Y15" t="n">
        <v>4318932.40677681</v>
      </c>
      <c r="Z15" t="n">
        <v>4505897.89094387</v>
      </c>
      <c r="AA15" t="n">
        <v>4891890.72442824</v>
      </c>
      <c r="AB15" t="n">
        <v>5126107.79699345</v>
      </c>
      <c r="AC15" t="n">
        <v>5599980.07023367</v>
      </c>
      <c r="AD15" t="n">
        <v>6214906.87050378</v>
      </c>
      <c r="AE15" t="n">
        <v>6496436</v>
      </c>
      <c r="AF15" t="n">
        <v>7620631</v>
      </c>
    </row>
    <row r="16">
      <c r="A16" t="s">
        <v>36</v>
      </c>
      <c r="B16" t="s">
        <v>189</v>
      </c>
      <c r="C16" t="s">
        <v>129</v>
      </c>
      <c r="D16" t="s">
        <v>190</v>
      </c>
      <c r="E16" t="s">
        <v>130</v>
      </c>
      <c r="F16" t="n">
        <v>406903.42611547</v>
      </c>
      <c r="G16" t="n">
        <v>463571.679059022</v>
      </c>
      <c r="H16" t="n">
        <v>486415.405179287</v>
      </c>
      <c r="I16" t="n">
        <v>549858.016587469</v>
      </c>
      <c r="J16" t="n">
        <v>647990.402189032</v>
      </c>
      <c r="K16" t="n">
        <v>1265323.33570985</v>
      </c>
      <c r="L16" t="n">
        <v>1383856.63994524</v>
      </c>
      <c r="M16" t="n">
        <v>1582084.39259676</v>
      </c>
      <c r="N16" t="n">
        <v>1417976.02384287</v>
      </c>
      <c r="O16" t="n">
        <v>1527928.48720156</v>
      </c>
      <c r="P16" t="n">
        <v>1752130.11516615</v>
      </c>
      <c r="Q16" t="n">
        <v>1830014.16275349</v>
      </c>
      <c r="R16" t="n">
        <v>1841531.44866295</v>
      </c>
      <c r="S16" t="n">
        <v>1934751.47007497</v>
      </c>
      <c r="T16" t="n">
        <v>1001112.4100191</v>
      </c>
      <c r="U16" t="n">
        <v>1200155.79623704</v>
      </c>
      <c r="V16" t="n">
        <v>1105990.37702503</v>
      </c>
      <c r="W16" t="n">
        <v>1073031.30707383</v>
      </c>
      <c r="X16" t="n">
        <v>1127477.28027906</v>
      </c>
      <c r="Y16" t="n">
        <v>1243825.14976275</v>
      </c>
      <c r="Z16" t="n">
        <v>1317876.2828913</v>
      </c>
      <c r="AA16" t="n">
        <v>1402990.87268976</v>
      </c>
      <c r="AB16" t="n">
        <v>1468798.97439939</v>
      </c>
      <c r="AC16" t="n">
        <v>1592223.5432884</v>
      </c>
      <c r="AD16" t="n">
        <v>1901845.50910132</v>
      </c>
      <c r="AE16" t="n">
        <v>2110343</v>
      </c>
      <c r="AF16" t="n">
        <v>3022740</v>
      </c>
    </row>
    <row r="17">
      <c r="A17" t="s">
        <v>36</v>
      </c>
      <c r="B17" t="s">
        <v>191</v>
      </c>
      <c r="C17" t="s">
        <v>129</v>
      </c>
      <c r="D17" t="s">
        <v>192</v>
      </c>
      <c r="E17" t="s">
        <v>130</v>
      </c>
      <c r="F17" t="n">
        <v>414368.874324298</v>
      </c>
      <c r="G17" t="n">
        <v>422780.889752239</v>
      </c>
      <c r="H17" t="n">
        <v>424814.425338065</v>
      </c>
      <c r="I17" t="n">
        <v>445053.839537474</v>
      </c>
      <c r="J17" t="n">
        <v>462701.172854345</v>
      </c>
      <c r="K17" t="n">
        <v>524258.788698332</v>
      </c>
      <c r="L17" t="n">
        <v>614665.315195602</v>
      </c>
      <c r="M17" t="n">
        <v>749005.015373008</v>
      </c>
      <c r="N17" t="n">
        <v>806509.61756234</v>
      </c>
      <c r="O17" t="n">
        <v>887808.69448986</v>
      </c>
      <c r="P17" t="n">
        <v>972904.730986721</v>
      </c>
      <c r="Q17" t="n">
        <v>1024730.91024033</v>
      </c>
      <c r="R17" t="n">
        <v>1086113.42653365</v>
      </c>
      <c r="S17" t="n">
        <v>1209782.5261462</v>
      </c>
      <c r="T17" t="n">
        <v>1632853.28849656</v>
      </c>
      <c r="U17" t="n">
        <v>1775272.10902843</v>
      </c>
      <c r="V17" t="n">
        <v>2363101.79939891</v>
      </c>
      <c r="W17" t="n">
        <v>2423540.91959569</v>
      </c>
      <c r="X17" t="n">
        <v>2394729.1891761</v>
      </c>
      <c r="Y17" t="n">
        <v>2515699.92322291</v>
      </c>
      <c r="Z17" t="n">
        <v>2525505.06181468</v>
      </c>
      <c r="AA17" t="n">
        <v>2197598.16957123</v>
      </c>
      <c r="AB17" t="n">
        <v>2257958.30115819</v>
      </c>
      <c r="AC17" t="n">
        <v>2085472.64200254</v>
      </c>
      <c r="AD17" t="n">
        <v>2054882.91237553</v>
      </c>
      <c r="AE17" t="n">
        <v>1963179</v>
      </c>
      <c r="AF17" t="n">
        <v>2208261</v>
      </c>
    </row>
    <row r="18">
      <c r="A18" t="s">
        <v>36</v>
      </c>
      <c r="B18" t="s">
        <v>193</v>
      </c>
      <c r="C18" t="s">
        <v>129</v>
      </c>
      <c r="D18" t="s">
        <v>194</v>
      </c>
      <c r="E18" t="s">
        <v>130</v>
      </c>
      <c r="F18" t="n">
        <v>747643.70655317</v>
      </c>
      <c r="G18" t="n">
        <v>933835.223017796</v>
      </c>
      <c r="H18" t="n">
        <v>1417117.43371843</v>
      </c>
      <c r="I18" t="n">
        <v>1948674.4613905</v>
      </c>
      <c r="J18" t="n">
        <v>2249687.6504973</v>
      </c>
      <c r="K18" t="n">
        <v>2606014.19401151</v>
      </c>
      <c r="L18" t="n">
        <v>2747556.49486022</v>
      </c>
      <c r="M18" t="n">
        <v>2900420.8806986</v>
      </c>
      <c r="N18" t="n">
        <v>3267790.38341435</v>
      </c>
      <c r="O18" t="n">
        <v>3417464.95115538</v>
      </c>
      <c r="P18" t="n">
        <v>3992545.50123483</v>
      </c>
      <c r="Q18" t="n">
        <v>4722361.84921924</v>
      </c>
      <c r="R18" t="n">
        <v>5431474.3618786</v>
      </c>
      <c r="S18" t="n">
        <v>5542189.31904788</v>
      </c>
      <c r="T18" t="n">
        <v>3848486.68169488</v>
      </c>
      <c r="U18" t="n">
        <v>4700321.97302887</v>
      </c>
      <c r="V18" t="n">
        <v>5180670.65074134</v>
      </c>
      <c r="W18" t="n">
        <v>5418750.19749558</v>
      </c>
      <c r="X18" t="n">
        <v>6462223.49574396</v>
      </c>
      <c r="Y18" t="n">
        <v>7842701.7381533</v>
      </c>
      <c r="Z18" t="n">
        <v>9108808.27478954</v>
      </c>
      <c r="AA18" t="n">
        <v>9260381.92333782</v>
      </c>
      <c r="AB18" t="n">
        <v>9332196.19819819</v>
      </c>
      <c r="AC18" t="n">
        <v>9512640.26690016</v>
      </c>
      <c r="AD18" t="n">
        <v>10573085.5430165</v>
      </c>
      <c r="AE18" t="n">
        <v>9576062</v>
      </c>
      <c r="AF18" t="n">
        <v>9407086</v>
      </c>
    </row>
    <row r="19">
      <c r="A19" t="s">
        <v>36</v>
      </c>
      <c r="B19" t="s">
        <v>195</v>
      </c>
      <c r="C19" t="s">
        <v>129</v>
      </c>
      <c r="D19" t="s">
        <v>196</v>
      </c>
      <c r="E19" t="s">
        <v>130</v>
      </c>
      <c r="F19" t="n">
        <v>370842.368108879</v>
      </c>
      <c r="G19" t="n">
        <v>373272.728705602</v>
      </c>
      <c r="H19" t="n">
        <v>416982.97283645</v>
      </c>
      <c r="I19" t="n">
        <v>448085.07704548</v>
      </c>
      <c r="J19" t="n">
        <v>480235.849558197</v>
      </c>
      <c r="K19" t="n">
        <v>553389.802194121</v>
      </c>
      <c r="L19" t="n">
        <v>644861.509896128</v>
      </c>
      <c r="M19" t="n">
        <v>763053.69704255</v>
      </c>
      <c r="N19" t="n">
        <v>771863.37220722</v>
      </c>
      <c r="O19" t="n">
        <v>794957.574971782</v>
      </c>
      <c r="P19" t="n">
        <v>788221.945951454</v>
      </c>
      <c r="Q19" t="n">
        <v>836118.033643714</v>
      </c>
      <c r="R19" t="n">
        <v>894958.524432916</v>
      </c>
      <c r="S19" t="n">
        <v>862554.043754313</v>
      </c>
      <c r="T19" t="n">
        <v>828636.295967025</v>
      </c>
      <c r="U19" t="n">
        <v>892624.072055056</v>
      </c>
      <c r="V19" t="n">
        <v>885024.847010906</v>
      </c>
      <c r="W19" t="n">
        <v>907447.326426301</v>
      </c>
      <c r="X19" t="n">
        <v>972184.553468112</v>
      </c>
      <c r="Y19" t="n">
        <v>1018841.02848916</v>
      </c>
      <c r="Z19" t="n">
        <v>1110729.40981013</v>
      </c>
      <c r="AA19" t="n">
        <v>1169798.91398442</v>
      </c>
      <c r="AB19" t="n">
        <v>1206525.4608894</v>
      </c>
      <c r="AC19" t="n">
        <v>1191339.82822854</v>
      </c>
      <c r="AD19" t="n">
        <v>1318184.60301404</v>
      </c>
      <c r="AE19" t="n">
        <v>1324174</v>
      </c>
      <c r="AF19" t="n">
        <v>1473336</v>
      </c>
    </row>
    <row r="20">
      <c r="A20" t="s">
        <v>36</v>
      </c>
      <c r="B20" t="s">
        <v>197</v>
      </c>
      <c r="C20" t="s">
        <v>129</v>
      </c>
      <c r="D20" t="s">
        <v>198</v>
      </c>
      <c r="E20" t="s">
        <v>130</v>
      </c>
      <c r="F20" t="n">
        <v>2260763.86183154</v>
      </c>
      <c r="G20" t="n">
        <v>2362544.39384211</v>
      </c>
      <c r="H20" t="n">
        <v>2394672.48965973</v>
      </c>
      <c r="I20" t="n">
        <v>2423165.32014518</v>
      </c>
      <c r="J20" t="n">
        <v>2277497.33623834</v>
      </c>
      <c r="K20" t="n">
        <v>1793295.17845817</v>
      </c>
      <c r="L20" t="n">
        <v>1747252.63986139</v>
      </c>
      <c r="M20" t="n">
        <v>1920243.51512403</v>
      </c>
      <c r="N20" t="n">
        <v>1945465.77185173</v>
      </c>
      <c r="O20" t="n">
        <v>2051663.49735269</v>
      </c>
      <c r="P20" t="n">
        <v>1893032.97750846</v>
      </c>
      <c r="Q20" t="n">
        <v>1780089.18901543</v>
      </c>
      <c r="R20" t="n">
        <v>1973579.24447703</v>
      </c>
      <c r="S20" t="n">
        <v>1869604.16650941</v>
      </c>
      <c r="T20" t="n">
        <v>1792325.68945773</v>
      </c>
      <c r="U20" t="n">
        <v>1666139.77288113</v>
      </c>
      <c r="V20" t="n">
        <v>1595088.77529288</v>
      </c>
      <c r="W20" t="n">
        <v>1527000.14711114</v>
      </c>
      <c r="X20" t="n">
        <v>1456098.40685754</v>
      </c>
      <c r="Y20" t="n">
        <v>1415930.29548733</v>
      </c>
      <c r="Z20" t="n">
        <v>1462839.67394238</v>
      </c>
      <c r="AA20" t="n">
        <v>1580031.66983954</v>
      </c>
      <c r="AB20" t="n">
        <v>1524104.37489722</v>
      </c>
      <c r="AC20" t="n">
        <v>1472523.66390839</v>
      </c>
      <c r="AD20" t="n">
        <v>1577420.7613867</v>
      </c>
      <c r="AE20" t="n">
        <v>1553769</v>
      </c>
      <c r="AF20" t="n">
        <v>1618677</v>
      </c>
    </row>
    <row r="21">
      <c r="A21" t="s">
        <v>36</v>
      </c>
      <c r="B21" t="s">
        <v>199</v>
      </c>
      <c r="C21" t="s">
        <v>129</v>
      </c>
      <c r="D21" t="s">
        <v>200</v>
      </c>
      <c r="E21" t="s">
        <v>130</v>
      </c>
      <c r="F21" t="n">
        <v>2704727.29923737</v>
      </c>
      <c r="G21" t="n">
        <v>2743560.51551097</v>
      </c>
      <c r="H21" t="n">
        <v>2771622.67055088</v>
      </c>
      <c r="I21" t="n">
        <v>2874217.47669744</v>
      </c>
      <c r="J21" t="n">
        <v>2781220.21804614</v>
      </c>
      <c r="K21" t="n">
        <v>2343928.76140233</v>
      </c>
      <c r="L21" t="n">
        <v>2325007.13332715</v>
      </c>
      <c r="M21" t="n">
        <v>2544124.29350647</v>
      </c>
      <c r="N21" t="n">
        <v>2554802.8647552</v>
      </c>
      <c r="O21" t="n">
        <v>2690289.44893781</v>
      </c>
      <c r="P21" t="n">
        <v>2577444.5679547</v>
      </c>
      <c r="Q21" t="n">
        <v>2479985.5255419</v>
      </c>
      <c r="R21" t="n">
        <v>2662310.22659438</v>
      </c>
      <c r="S21" t="n">
        <v>2544939.08845709</v>
      </c>
      <c r="T21" t="n">
        <v>2482992.72556989</v>
      </c>
      <c r="U21" t="n">
        <v>2357739.55888215</v>
      </c>
      <c r="V21" t="n">
        <v>2294189.25406706</v>
      </c>
      <c r="W21" t="n">
        <v>2186448.04485623</v>
      </c>
      <c r="X21" t="n">
        <v>2108876.00477331</v>
      </c>
      <c r="Y21" t="n">
        <v>2084009.17905422</v>
      </c>
      <c r="Z21" t="n">
        <v>2153432.16795813</v>
      </c>
      <c r="AA21" t="n">
        <v>2326323.59464388</v>
      </c>
      <c r="AB21" t="n">
        <v>2308570.9011888</v>
      </c>
      <c r="AC21" t="n">
        <v>2231040.69711482</v>
      </c>
      <c r="AD21" t="n">
        <v>2364866.80310647</v>
      </c>
      <c r="AE21" t="n">
        <v>2337495</v>
      </c>
      <c r="AF21" t="n">
        <v>2314047</v>
      </c>
    </row>
    <row r="22">
      <c r="A22" t="s">
        <v>36</v>
      </c>
      <c r="B22" t="s">
        <v>201</v>
      </c>
      <c r="C22" t="s">
        <v>129</v>
      </c>
      <c r="D22" t="s">
        <v>202</v>
      </c>
      <c r="E22" t="s">
        <v>130</v>
      </c>
      <c r="F22" t="n">
        <v>467224.401758587</v>
      </c>
      <c r="G22" t="n">
        <v>419277.444022353</v>
      </c>
      <c r="H22" t="n">
        <v>417422.084526254</v>
      </c>
      <c r="I22" t="n">
        <v>481658.749495633</v>
      </c>
      <c r="J22" t="n">
        <v>521258.438904488</v>
      </c>
      <c r="K22" t="n">
        <v>544478.586962981</v>
      </c>
      <c r="L22" t="n">
        <v>565823.001348505</v>
      </c>
      <c r="M22" t="n">
        <v>612277.648029455</v>
      </c>
      <c r="N22" t="n">
        <v>601056.069012804</v>
      </c>
      <c r="O22" t="n">
        <v>630483.463175456</v>
      </c>
      <c r="P22" t="n">
        <v>665657.473308111</v>
      </c>
      <c r="Q22" t="n">
        <v>677493.054607545</v>
      </c>
      <c r="R22" t="n">
        <v>668843.901293789</v>
      </c>
      <c r="S22" t="n">
        <v>656756.45037346</v>
      </c>
      <c r="T22" t="n">
        <v>676409.017091176</v>
      </c>
      <c r="U22" t="n">
        <v>683105.053814756</v>
      </c>
      <c r="V22" t="n">
        <v>694581.383372066</v>
      </c>
      <c r="W22" t="n">
        <v>654398.224837169</v>
      </c>
      <c r="X22" t="n">
        <v>650013.095690479</v>
      </c>
      <c r="Y22" t="n">
        <v>667399.889867215</v>
      </c>
      <c r="Z22" t="n">
        <v>689908.294332503</v>
      </c>
      <c r="AA22" t="n">
        <v>745564.404613666</v>
      </c>
      <c r="AB22" t="n">
        <v>784675.370977524</v>
      </c>
      <c r="AC22" t="n">
        <v>758716.456933312</v>
      </c>
      <c r="AD22" t="n">
        <v>787219.188420248</v>
      </c>
      <c r="AE22" t="n">
        <v>783726</v>
      </c>
      <c r="AF22" t="n">
        <v>695370</v>
      </c>
    </row>
    <row r="23">
      <c r="A23" t="s">
        <v>36</v>
      </c>
      <c r="B23" t="s">
        <v>203</v>
      </c>
      <c r="C23" t="s">
        <v>129</v>
      </c>
      <c r="D23" t="s">
        <v>204</v>
      </c>
      <c r="E23" t="s">
        <v>130</v>
      </c>
      <c r="F23" t="n">
        <v>2567977.85982449</v>
      </c>
      <c r="G23" t="n">
        <v>2623549.92629182</v>
      </c>
      <c r="H23" t="n">
        <v>2781843.88574753</v>
      </c>
      <c r="I23" t="n">
        <v>2819131.68701112</v>
      </c>
      <c r="J23" t="n">
        <v>2984775.29887523</v>
      </c>
      <c r="K23" t="n">
        <v>3243231.18773653</v>
      </c>
      <c r="L23" t="n">
        <v>3819753.36929523</v>
      </c>
      <c r="M23" t="n">
        <v>4458529.98895216</v>
      </c>
      <c r="N23" t="n">
        <v>4450358.81645719</v>
      </c>
      <c r="O23" t="n">
        <v>4740610.43766848</v>
      </c>
      <c r="P23" t="n">
        <v>5185692.74029678</v>
      </c>
      <c r="Q23" t="n">
        <v>5086104.80187945</v>
      </c>
      <c r="R23" t="n">
        <v>4529109.52167182</v>
      </c>
      <c r="S23" t="n">
        <v>4500748.48352806</v>
      </c>
      <c r="T23" t="n">
        <v>4237070.07205013</v>
      </c>
      <c r="U23" t="n">
        <v>3644711.27775808</v>
      </c>
      <c r="V23" t="n">
        <v>3434216.14143167</v>
      </c>
      <c r="W23" t="n">
        <v>3213256.75722562</v>
      </c>
      <c r="X23" t="n">
        <v>3636482.0490512</v>
      </c>
      <c r="Y23" t="n">
        <v>4139283.047596</v>
      </c>
      <c r="Z23" t="n">
        <v>4310194.77117091</v>
      </c>
      <c r="AA23" t="n">
        <v>3787990.19631664</v>
      </c>
      <c r="AB23" t="n">
        <v>4663268.35654077</v>
      </c>
      <c r="AC23" t="n">
        <v>5685399.21735687</v>
      </c>
      <c r="AD23" t="n">
        <v>6552903.19165817</v>
      </c>
      <c r="AE23" t="n">
        <v>6488783</v>
      </c>
      <c r="AF23" t="n">
        <v>7059337</v>
      </c>
    </row>
    <row r="24">
      <c r="A24" t="s">
        <v>36</v>
      </c>
      <c r="B24" t="s">
        <v>205</v>
      </c>
      <c r="C24" t="s">
        <v>129</v>
      </c>
      <c r="D24" t="s">
        <v>206</v>
      </c>
      <c r="E24" t="s">
        <v>130</v>
      </c>
      <c r="F24" t="n">
        <v>3960973.20534596</v>
      </c>
      <c r="G24" t="n">
        <v>3972177.39823804</v>
      </c>
      <c r="H24" t="n">
        <v>4149211.24758301</v>
      </c>
      <c r="I24" t="n">
        <v>4615214.88091001</v>
      </c>
      <c r="J24" t="n">
        <v>4662744.93569585</v>
      </c>
      <c r="K24" t="n">
        <v>4990429.39993493</v>
      </c>
      <c r="L24" t="n">
        <v>5537975.8406324</v>
      </c>
      <c r="M24" t="n">
        <v>6253542.70932305</v>
      </c>
      <c r="N24" t="n">
        <v>6397880.61511374</v>
      </c>
      <c r="O24" t="n">
        <v>6516168.45215767</v>
      </c>
      <c r="P24" t="n">
        <v>7032397.46109338</v>
      </c>
      <c r="Q24" t="n">
        <v>7311046.37876844</v>
      </c>
      <c r="R24" t="n">
        <v>7062394.55780668</v>
      </c>
      <c r="S24" t="n">
        <v>7335599.50677787</v>
      </c>
      <c r="T24" t="n">
        <v>6342753.93481582</v>
      </c>
      <c r="U24" t="n">
        <v>6075289.15717586</v>
      </c>
      <c r="V24" t="n">
        <v>6095548.61917674</v>
      </c>
      <c r="W24" t="n">
        <v>5838068.30216833</v>
      </c>
      <c r="X24" t="n">
        <v>6300794.30057137</v>
      </c>
      <c r="Y24" t="n">
        <v>6694100.26109252</v>
      </c>
      <c r="Z24" t="n">
        <v>6892110.13932256</v>
      </c>
      <c r="AA24" t="n">
        <v>7182212.57110896</v>
      </c>
      <c r="AB24" t="n">
        <v>7537247.89617651</v>
      </c>
      <c r="AC24" t="n">
        <v>8226023.82235582</v>
      </c>
      <c r="AD24" t="n">
        <v>8655967.40263376</v>
      </c>
      <c r="AE24" t="n">
        <v>8775513</v>
      </c>
      <c r="AF24" t="n">
        <v>9621442</v>
      </c>
    </row>
    <row r="25">
      <c r="A25" t="s">
        <v>36</v>
      </c>
      <c r="B25" t="s">
        <v>207</v>
      </c>
      <c r="C25" t="s">
        <v>129</v>
      </c>
      <c r="D25" t="s">
        <v>208</v>
      </c>
      <c r="E25" t="s">
        <v>130</v>
      </c>
      <c r="F25" t="n">
        <v>256677.325207385</v>
      </c>
      <c r="G25" t="n">
        <v>274887.378780578</v>
      </c>
      <c r="H25" t="n">
        <v>283362.650403368</v>
      </c>
      <c r="I25" t="n">
        <v>371069.175641076</v>
      </c>
      <c r="J25" t="n">
        <v>373744.009315873</v>
      </c>
      <c r="K25" t="n">
        <v>423402.588604209</v>
      </c>
      <c r="L25" t="n">
        <v>474553.051448155</v>
      </c>
      <c r="M25" t="n">
        <v>565652.032267897</v>
      </c>
      <c r="N25" t="n">
        <v>588665.335293632</v>
      </c>
      <c r="O25" t="n">
        <v>611082.173799532</v>
      </c>
      <c r="P25" t="n">
        <v>643944.090067893</v>
      </c>
      <c r="Q25" t="n">
        <v>665891.646158437</v>
      </c>
      <c r="R25" t="n">
        <v>684741.835332683</v>
      </c>
      <c r="S25" t="n">
        <v>737800.457499558</v>
      </c>
      <c r="T25" t="n">
        <v>659442.106844559</v>
      </c>
      <c r="U25" t="n">
        <v>565314.276868266</v>
      </c>
      <c r="V25" t="n">
        <v>603759.828343846</v>
      </c>
      <c r="W25" t="n">
        <v>604999.498300053</v>
      </c>
      <c r="X25" t="n">
        <v>669516.241631561</v>
      </c>
      <c r="Y25" t="n">
        <v>698962.55280541</v>
      </c>
      <c r="Z25" t="n">
        <v>727917.913657808</v>
      </c>
      <c r="AA25" t="n">
        <v>763288.286188268</v>
      </c>
      <c r="AB25" t="n">
        <v>839791.120688576</v>
      </c>
      <c r="AC25" t="n">
        <v>974867.280679043</v>
      </c>
      <c r="AD25" t="n">
        <v>1055889.45887967</v>
      </c>
      <c r="AE25" t="n">
        <v>991812</v>
      </c>
      <c r="AF25" t="n">
        <v>1094943</v>
      </c>
    </row>
    <row r="26">
      <c r="A26" t="s">
        <v>36</v>
      </c>
      <c r="B26" t="s">
        <v>209</v>
      </c>
      <c r="C26" t="s">
        <v>129</v>
      </c>
      <c r="D26" t="s">
        <v>210</v>
      </c>
      <c r="E26" t="s">
        <v>130</v>
      </c>
      <c r="F26" t="n">
        <v>2296556.42099514</v>
      </c>
      <c r="G26" t="n">
        <v>2436961.54544406</v>
      </c>
      <c r="H26" t="n">
        <v>2599855.63944515</v>
      </c>
      <c r="I26" t="n">
        <v>2764858.25631833</v>
      </c>
      <c r="J26" t="n">
        <v>2878682.61661277</v>
      </c>
      <c r="K26" t="n">
        <v>3053194.919441</v>
      </c>
      <c r="L26" t="n">
        <v>3402355.62296027</v>
      </c>
      <c r="M26" t="n">
        <v>3816190.14223931</v>
      </c>
      <c r="N26" t="n">
        <v>3809397.76242867</v>
      </c>
      <c r="O26" t="n">
        <v>3783792.39799257</v>
      </c>
      <c r="P26" t="n">
        <v>4157490.65630805</v>
      </c>
      <c r="Q26" t="n">
        <v>4366819.18151616</v>
      </c>
      <c r="R26" t="n">
        <v>4152633.90855755</v>
      </c>
      <c r="S26" t="n">
        <v>4213370.98657365</v>
      </c>
      <c r="T26" t="n">
        <v>3392110.52353226</v>
      </c>
      <c r="U26" t="n">
        <v>3366733.52207605</v>
      </c>
      <c r="V26" t="n">
        <v>3304026.28863929</v>
      </c>
      <c r="W26" t="n">
        <v>3082309.40268177</v>
      </c>
      <c r="X26" t="n">
        <v>3311638.49128891</v>
      </c>
      <c r="Y26" t="n">
        <v>3510801.53359276</v>
      </c>
      <c r="Z26" t="n">
        <v>3623826.63122294</v>
      </c>
      <c r="AA26" t="n">
        <v>3687409.61090717</v>
      </c>
      <c r="AB26" t="n">
        <v>3779620.23518598</v>
      </c>
      <c r="AC26" t="n">
        <v>4114027.76682163</v>
      </c>
      <c r="AD26" t="n">
        <v>4240721.69664726</v>
      </c>
      <c r="AE26" t="n">
        <v>4435522</v>
      </c>
      <c r="AF26" t="n">
        <v>4939732</v>
      </c>
    </row>
    <row r="27">
      <c r="A27" t="s">
        <v>36</v>
      </c>
      <c r="B27" t="s">
        <v>211</v>
      </c>
      <c r="C27" t="s">
        <v>129</v>
      </c>
      <c r="D27" t="s">
        <v>212</v>
      </c>
      <c r="E27" t="s">
        <v>130</v>
      </c>
      <c r="F27" t="n">
        <v>1479674.95319802</v>
      </c>
      <c r="G27" t="n">
        <v>1350676.67755733</v>
      </c>
      <c r="H27" t="n">
        <v>1374701.58195847</v>
      </c>
      <c r="I27" t="n">
        <v>1548221.31494101</v>
      </c>
      <c r="J27" t="n">
        <v>1500925.6434451</v>
      </c>
      <c r="K27" t="n">
        <v>1594993.51505534</v>
      </c>
      <c r="L27" t="n">
        <v>1752416.28240528</v>
      </c>
      <c r="M27" t="n">
        <v>1957107.62529929</v>
      </c>
      <c r="N27" t="n">
        <v>2059457.57491961</v>
      </c>
      <c r="O27" t="n">
        <v>2156994.87767074</v>
      </c>
      <c r="P27" t="n">
        <v>2289479.02964905</v>
      </c>
      <c r="Q27" t="n">
        <v>2348784.77299362</v>
      </c>
      <c r="R27" t="n">
        <v>2269591.91981025</v>
      </c>
      <c r="S27" t="n">
        <v>2407659.10222645</v>
      </c>
      <c r="T27" t="n">
        <v>2287752.79639901</v>
      </c>
      <c r="U27" t="n">
        <v>2156385.70538544</v>
      </c>
      <c r="V27" t="n">
        <v>2195188.39708225</v>
      </c>
      <c r="W27" t="n">
        <v>2156865.98592999</v>
      </c>
      <c r="X27" t="n">
        <v>2325340.31049719</v>
      </c>
      <c r="Y27" t="n">
        <v>2491194.38027613</v>
      </c>
      <c r="Z27" t="n">
        <v>2547364.35132096</v>
      </c>
      <c r="AA27" t="n">
        <v>2737718.83554031</v>
      </c>
      <c r="AB27" t="n">
        <v>2920142.32725312</v>
      </c>
      <c r="AC27" t="n">
        <v>3136690.2334325</v>
      </c>
      <c r="AD27" t="n">
        <v>3356980.1701186</v>
      </c>
      <c r="AE27" t="n">
        <v>3348179</v>
      </c>
      <c r="AF27" t="n">
        <v>3586767</v>
      </c>
    </row>
    <row r="28">
      <c r="A28" t="s">
        <v>36</v>
      </c>
      <c r="B28" t="s">
        <v>213</v>
      </c>
      <c r="C28" t="s">
        <v>129</v>
      </c>
      <c r="D28" t="s">
        <v>214</v>
      </c>
      <c r="E28" t="s">
        <v>130</v>
      </c>
      <c r="F28" t="n">
        <v>2394366.80496772</v>
      </c>
      <c r="G28" t="n">
        <v>2291083.64968171</v>
      </c>
      <c r="H28" t="n">
        <v>2469166.33024719</v>
      </c>
      <c r="I28" t="n">
        <v>2478056.12549247</v>
      </c>
      <c r="J28" t="n">
        <v>2642310.81667765</v>
      </c>
      <c r="K28" t="n">
        <v>2766317.27986447</v>
      </c>
      <c r="L28" t="n">
        <v>3008453.96239082</v>
      </c>
      <c r="M28" t="n">
        <v>3196051.11094584</v>
      </c>
      <c r="N28" t="n">
        <v>3115754.92838928</v>
      </c>
      <c r="O28" t="n">
        <v>3355459.1423096</v>
      </c>
      <c r="P28" t="n">
        <v>3510275.81258487</v>
      </c>
      <c r="Q28" t="n">
        <v>3773700.36106129</v>
      </c>
      <c r="R28" t="n">
        <v>3916706.53776207</v>
      </c>
      <c r="S28" t="n">
        <v>4141967.38123316</v>
      </c>
      <c r="T28" t="n">
        <v>3926590.11753078</v>
      </c>
      <c r="U28" t="n">
        <v>3888005.00927567</v>
      </c>
      <c r="V28" t="n">
        <v>3944226.18655493</v>
      </c>
      <c r="W28" t="n">
        <v>3936001.5630945</v>
      </c>
      <c r="X28" t="n">
        <v>4053815.87622854</v>
      </c>
      <c r="Y28" t="n">
        <v>4279215.68612405</v>
      </c>
      <c r="Z28" t="n">
        <v>4382236.20140665</v>
      </c>
      <c r="AA28" t="n">
        <v>4549301.5271459</v>
      </c>
      <c r="AB28" t="n">
        <v>4720462.18774499</v>
      </c>
      <c r="AC28" t="n">
        <v>5187202.62655729</v>
      </c>
      <c r="AD28" t="n">
        <v>5434709.42241489</v>
      </c>
      <c r="AE28" t="n">
        <v>5026563</v>
      </c>
      <c r="AF28" t="n">
        <v>5320485</v>
      </c>
    </row>
    <row r="29">
      <c r="A29" t="s">
        <v>36</v>
      </c>
      <c r="B29" t="s">
        <v>215</v>
      </c>
      <c r="C29" t="s">
        <v>129</v>
      </c>
      <c r="D29" t="s">
        <v>216</v>
      </c>
      <c r="E29" t="s">
        <v>130</v>
      </c>
      <c r="F29" t="n">
        <v>1790793.49162079</v>
      </c>
      <c r="G29" t="n">
        <v>1651098.1153078</v>
      </c>
      <c r="H29" t="n">
        <v>1866477.02599168</v>
      </c>
      <c r="I29" t="n">
        <v>1884679.50312111</v>
      </c>
      <c r="J29" t="n">
        <v>1965015.31654371</v>
      </c>
      <c r="K29" t="n">
        <v>2053759.62587491</v>
      </c>
      <c r="L29" t="n">
        <v>2178180.08877641</v>
      </c>
      <c r="M29" t="n">
        <v>2322878.67406107</v>
      </c>
      <c r="N29" t="n">
        <v>2252879.11186068</v>
      </c>
      <c r="O29" t="n">
        <v>2366395.78479724</v>
      </c>
      <c r="P29" t="n">
        <v>2358945.56484733</v>
      </c>
      <c r="Q29" t="n">
        <v>2444348.52891281</v>
      </c>
      <c r="R29" t="n">
        <v>2459573.44476698</v>
      </c>
      <c r="S29" t="n">
        <v>2301448.43345246</v>
      </c>
      <c r="T29" t="n">
        <v>2096811.26561179</v>
      </c>
      <c r="U29" t="n">
        <v>2050164.49599613</v>
      </c>
      <c r="V29" t="n">
        <v>2152138.04273469</v>
      </c>
      <c r="W29" t="n">
        <v>2161476.85785943</v>
      </c>
      <c r="X29" t="n">
        <v>2281216.99841743</v>
      </c>
      <c r="Y29" t="n">
        <v>2332980.7542022</v>
      </c>
      <c r="Z29" t="n">
        <v>2378764.30129605</v>
      </c>
      <c r="AA29" t="n">
        <v>2500480.22083063</v>
      </c>
      <c r="AB29" t="n">
        <v>2580411.79393235</v>
      </c>
      <c r="AC29" t="n">
        <v>2865651.62365403</v>
      </c>
      <c r="AD29" t="n">
        <v>2875289.88043522</v>
      </c>
      <c r="AE29" t="n">
        <v>2874437</v>
      </c>
      <c r="AF29" t="n">
        <v>2936855</v>
      </c>
    </row>
    <row r="30">
      <c r="A30" t="s">
        <v>36</v>
      </c>
      <c r="B30" t="s">
        <v>217</v>
      </c>
      <c r="C30" t="s">
        <v>129</v>
      </c>
      <c r="D30" t="s">
        <v>218</v>
      </c>
      <c r="E30" t="s">
        <v>130</v>
      </c>
      <c r="F30" t="n">
        <v>90148.7107904695</v>
      </c>
      <c r="G30" t="n">
        <v>141781.504140037</v>
      </c>
      <c r="H30" t="n">
        <v>27502.3128825039</v>
      </c>
      <c r="I30" t="n">
        <v>24470.1004901319</v>
      </c>
      <c r="J30" t="n">
        <v>20268.4914234338</v>
      </c>
      <c r="K30" t="n">
        <v>20088.7373048655</v>
      </c>
      <c r="L30" t="n">
        <v>22610.6328429721</v>
      </c>
      <c r="M30" t="n">
        <v>22726.3161657521</v>
      </c>
      <c r="N30" t="n">
        <v>22494.5215232455</v>
      </c>
      <c r="O30" t="n">
        <v>20145.3258401751</v>
      </c>
      <c r="P30" t="n">
        <v>24660.6240676573</v>
      </c>
      <c r="Q30" t="n">
        <v>23295.5310018584</v>
      </c>
      <c r="R30" t="n">
        <v>22000.867177299</v>
      </c>
      <c r="S30" t="n">
        <v>23908.5696048025</v>
      </c>
      <c r="T30" t="n">
        <v>28289.3157773663</v>
      </c>
      <c r="U30" t="n">
        <v>27466.7547370771</v>
      </c>
      <c r="V30" t="n">
        <v>22281.8546626842</v>
      </c>
      <c r="W30" t="n">
        <v>25080.9600571153</v>
      </c>
      <c r="X30" t="n">
        <v>24818.3711128658</v>
      </c>
      <c r="Y30" t="n">
        <v>24545.8345651564</v>
      </c>
      <c r="Z30" t="n">
        <v>24915.7155144861</v>
      </c>
      <c r="AA30" t="n">
        <v>22716.6478047345</v>
      </c>
      <c r="AB30" t="n">
        <v>24397.317548017</v>
      </c>
      <c r="AC30" t="n">
        <v>25283.0105677761</v>
      </c>
      <c r="AD30" t="n">
        <v>30704.1048420265</v>
      </c>
      <c r="AE30" t="n">
        <v>27412</v>
      </c>
      <c r="AF30" t="n">
        <v>25235</v>
      </c>
    </row>
    <row r="31">
      <c r="A31" t="s">
        <v>36</v>
      </c>
      <c r="B31" t="s">
        <v>219</v>
      </c>
      <c r="C31" t="s">
        <v>129</v>
      </c>
      <c r="D31" t="s">
        <v>220</v>
      </c>
      <c r="E31" t="s">
        <v>130</v>
      </c>
      <c r="F31" t="n">
        <v>143696.589294789</v>
      </c>
      <c r="G31" t="n">
        <v>152639.521986129</v>
      </c>
      <c r="H31" t="n">
        <v>167713.364454781</v>
      </c>
      <c r="I31" t="n">
        <v>153773.192751361</v>
      </c>
      <c r="J31" t="n">
        <v>166832.831179394</v>
      </c>
      <c r="K31" t="n">
        <v>184234.144257385</v>
      </c>
      <c r="L31" t="n">
        <v>177740.89295784</v>
      </c>
      <c r="M31" t="n">
        <v>175505.45896006</v>
      </c>
      <c r="N31" t="n">
        <v>184325.864125819</v>
      </c>
      <c r="O31" t="n">
        <v>219287.591431844</v>
      </c>
      <c r="P31" t="n">
        <v>248200.365849823</v>
      </c>
      <c r="Q31" t="n">
        <v>276155.08060596</v>
      </c>
      <c r="R31" t="n">
        <v>308617.626989481</v>
      </c>
      <c r="S31" t="n">
        <v>301804.700649658</v>
      </c>
      <c r="T31" t="n">
        <v>326872.951971663</v>
      </c>
      <c r="U31" t="n">
        <v>336937.909201204</v>
      </c>
      <c r="V31" t="n">
        <v>356272.526327661</v>
      </c>
      <c r="W31" t="n">
        <v>276448.898664016</v>
      </c>
      <c r="X31" t="n">
        <v>266132.698487899</v>
      </c>
      <c r="Y31" t="n">
        <v>291514.561338389</v>
      </c>
      <c r="Z31" t="n">
        <v>357416.750623663</v>
      </c>
      <c r="AA31" t="n">
        <v>418281.132365082</v>
      </c>
      <c r="AB31" t="n">
        <v>491166.302018107</v>
      </c>
      <c r="AC31" t="n">
        <v>563015.906888749</v>
      </c>
      <c r="AD31" t="n">
        <v>660659.679322058</v>
      </c>
      <c r="AE31" t="n">
        <v>323482</v>
      </c>
      <c r="AF31" t="n">
        <v>411998</v>
      </c>
    </row>
    <row r="32">
      <c r="A32" t="s">
        <v>36</v>
      </c>
      <c r="B32" t="s">
        <v>221</v>
      </c>
      <c r="C32" t="s">
        <v>129</v>
      </c>
      <c r="D32" t="s">
        <v>222</v>
      </c>
      <c r="E32" t="s">
        <v>130</v>
      </c>
      <c r="F32" t="n">
        <v>274276.544245564</v>
      </c>
      <c r="G32" t="n">
        <v>293791.350540714</v>
      </c>
      <c r="H32" t="n">
        <v>340237.490807034</v>
      </c>
      <c r="I32" t="n">
        <v>340773.819661924</v>
      </c>
      <c r="J32" t="n">
        <v>407298.800460092</v>
      </c>
      <c r="K32" t="n">
        <v>418523.787844331</v>
      </c>
      <c r="L32" t="n">
        <v>453641.586118171</v>
      </c>
      <c r="M32" t="n">
        <v>471864.646307191</v>
      </c>
      <c r="N32" t="n">
        <v>492509.329124444</v>
      </c>
      <c r="O32" t="n">
        <v>547008.50720093</v>
      </c>
      <c r="P32" t="n">
        <v>632889.525826547</v>
      </c>
      <c r="Q32" t="n">
        <v>750753.473197886</v>
      </c>
      <c r="R32" t="n">
        <v>844049.83631505</v>
      </c>
      <c r="S32" t="n">
        <v>1232288.66196869</v>
      </c>
      <c r="T32" t="n">
        <v>1214524.70351423</v>
      </c>
      <c r="U32" t="n">
        <v>1214880.30549647</v>
      </c>
      <c r="V32" t="n">
        <v>1160418.00464909</v>
      </c>
      <c r="W32" t="n">
        <v>1221210.80798621</v>
      </c>
      <c r="X32" t="n">
        <v>1234584.44627166</v>
      </c>
      <c r="Y32" t="n">
        <v>1374180.67017007</v>
      </c>
      <c r="Z32" t="n">
        <v>1347224.05241689</v>
      </c>
      <c r="AA32" t="n">
        <v>1313680.14534421</v>
      </c>
      <c r="AB32" t="n">
        <v>1325701.59025556</v>
      </c>
      <c r="AC32" t="n">
        <v>1409374.16560267</v>
      </c>
      <c r="AD32" t="n">
        <v>1514338.11694626</v>
      </c>
      <c r="AE32" t="n">
        <v>1472469</v>
      </c>
      <c r="AF32" t="n">
        <v>1523253</v>
      </c>
    </row>
    <row r="33">
      <c r="A33" t="s">
        <v>36</v>
      </c>
      <c r="B33" t="s">
        <v>223</v>
      </c>
      <c r="C33" t="s">
        <v>129</v>
      </c>
      <c r="D33" t="s">
        <v>224</v>
      </c>
      <c r="E33" t="s">
        <v>130</v>
      </c>
      <c r="F33" t="n">
        <v>139360.318233474</v>
      </c>
      <c r="G33" t="n">
        <v>126180.325550824</v>
      </c>
      <c r="H33" t="n">
        <v>126706.817173284</v>
      </c>
      <c r="I33" t="n">
        <v>132132.925613612</v>
      </c>
      <c r="J33" t="n">
        <v>136181.873839719</v>
      </c>
      <c r="K33" t="n">
        <v>143938.681966928</v>
      </c>
      <c r="L33" t="n">
        <v>209863.459497482</v>
      </c>
      <c r="M33" t="n">
        <v>237444.57108253</v>
      </c>
      <c r="N33" t="n">
        <v>199953.178880186</v>
      </c>
      <c r="O33" t="n">
        <v>225902.64198805</v>
      </c>
      <c r="P33" t="n">
        <v>250076.554442638</v>
      </c>
      <c r="Q33" t="n">
        <v>274478.213543999</v>
      </c>
      <c r="R33" t="n">
        <v>277760.58306883</v>
      </c>
      <c r="S33" t="n">
        <v>300230.887820429</v>
      </c>
      <c r="T33" t="n">
        <v>280935.858434649</v>
      </c>
      <c r="U33" t="n">
        <v>281602.820983037</v>
      </c>
      <c r="V33" t="n">
        <v>275585.186117917</v>
      </c>
      <c r="W33" t="n">
        <v>267162.022845842</v>
      </c>
      <c r="X33" t="n">
        <v>261840.07019951</v>
      </c>
      <c r="Y33" t="n">
        <v>269985.826940169</v>
      </c>
      <c r="Z33" t="n">
        <v>272058.016277131</v>
      </c>
      <c r="AA33" t="n">
        <v>280243.807495696</v>
      </c>
      <c r="AB33" t="n">
        <v>273081.630800356</v>
      </c>
      <c r="AC33" t="n">
        <v>291432.153453433</v>
      </c>
      <c r="AD33" t="n">
        <v>308099.145604793</v>
      </c>
      <c r="AE33" t="n">
        <v>328763</v>
      </c>
      <c r="AF33" t="n">
        <v>423144</v>
      </c>
    </row>
    <row r="34">
      <c r="A34" t="s">
        <v>36</v>
      </c>
      <c r="B34" t="s">
        <v>225</v>
      </c>
      <c r="C34" t="s">
        <v>129</v>
      </c>
      <c r="D34" t="s">
        <v>226</v>
      </c>
      <c r="E34" t="s">
        <v>130</v>
      </c>
      <c r="F34" t="n">
        <v>1332566.48387811</v>
      </c>
      <c r="G34" t="n">
        <v>1324676.05102828</v>
      </c>
      <c r="H34" t="n">
        <v>1269467.52813527</v>
      </c>
      <c r="I34" t="n">
        <v>1338798.31691065</v>
      </c>
      <c r="J34" t="n">
        <v>1371494.43836624</v>
      </c>
      <c r="K34" t="n">
        <v>1384947.97351344</v>
      </c>
      <c r="L34" t="n">
        <v>1463560.36070605</v>
      </c>
      <c r="M34" t="n">
        <v>1580099.5206358</v>
      </c>
      <c r="N34" t="n">
        <v>1449321.05928464</v>
      </c>
      <c r="O34" t="n">
        <v>1512503.25835271</v>
      </c>
      <c r="P34" t="n">
        <v>1546154.62662412</v>
      </c>
      <c r="Q34" t="n">
        <v>1574369.94596428</v>
      </c>
      <c r="R34" t="n">
        <v>1596558.17460753</v>
      </c>
      <c r="S34" t="n">
        <v>1639839.35113179</v>
      </c>
      <c r="T34" t="n">
        <v>1550621.48932003</v>
      </c>
      <c r="U34" t="n">
        <v>1509390.61474634</v>
      </c>
      <c r="V34" t="n">
        <v>1522508.25843656</v>
      </c>
      <c r="W34" t="n">
        <v>1501048.81509534</v>
      </c>
      <c r="X34" t="n">
        <v>1512345.55751319</v>
      </c>
      <c r="Y34" t="n">
        <v>1627329.71855253</v>
      </c>
      <c r="Z34" t="n">
        <v>1741222.91209</v>
      </c>
      <c r="AA34" t="n">
        <v>1811288.79558233</v>
      </c>
      <c r="AB34" t="n">
        <v>1927884.36616445</v>
      </c>
      <c r="AC34" t="n">
        <v>2065346.54464985</v>
      </c>
      <c r="AD34" t="n">
        <v>2171945.83052257</v>
      </c>
      <c r="AE34" t="n">
        <v>1477742</v>
      </c>
      <c r="AF34" t="n">
        <v>1868509</v>
      </c>
    </row>
    <row r="35">
      <c r="A35" t="s">
        <v>36</v>
      </c>
      <c r="B35" t="s">
        <v>227</v>
      </c>
      <c r="C35" t="s">
        <v>129</v>
      </c>
      <c r="D35" t="s">
        <v>228</v>
      </c>
      <c r="E35" t="s">
        <v>130</v>
      </c>
      <c r="F35" t="n">
        <v>729094.362206603</v>
      </c>
      <c r="G35" t="n">
        <v>835197.355286748</v>
      </c>
      <c r="H35" t="n">
        <v>1000495.48071671</v>
      </c>
      <c r="I35" t="n">
        <v>1075853.12492375</v>
      </c>
      <c r="J35" t="n">
        <v>1187015.74820916</v>
      </c>
      <c r="K35" t="n">
        <v>1354711.18906587</v>
      </c>
      <c r="L35" t="n">
        <v>1477848.3747179</v>
      </c>
      <c r="M35" t="n">
        <v>1676911.80370438</v>
      </c>
      <c r="N35" t="n">
        <v>1783876.83836634</v>
      </c>
      <c r="O35" t="n">
        <v>1852810.25484474</v>
      </c>
      <c r="P35" t="n">
        <v>1986108.75405152</v>
      </c>
      <c r="Q35" t="n">
        <v>2067427.58294389</v>
      </c>
      <c r="R35" t="n">
        <v>2103665.97752857</v>
      </c>
      <c r="S35" t="n">
        <v>2097132.4089435</v>
      </c>
      <c r="T35" t="n">
        <v>2248932.82657794</v>
      </c>
      <c r="U35" t="n">
        <v>2166686.35222752</v>
      </c>
      <c r="V35" t="n">
        <v>2243630.91285134</v>
      </c>
      <c r="W35" t="n">
        <v>2255264.01347532</v>
      </c>
      <c r="X35" t="n">
        <v>2345596.54181773</v>
      </c>
      <c r="Y35" t="n">
        <v>2445917.29064444</v>
      </c>
      <c r="Z35" t="n">
        <v>2504869.25717974</v>
      </c>
      <c r="AA35" t="n">
        <v>2682060.85065992</v>
      </c>
      <c r="AB35" t="n">
        <v>2952536.54930511</v>
      </c>
      <c r="AC35" t="n">
        <v>3214984.264848</v>
      </c>
      <c r="AD35" t="n">
        <v>3479468.78974924</v>
      </c>
      <c r="AE35" t="n">
        <v>3504380</v>
      </c>
      <c r="AF35" t="n">
        <v>4291822</v>
      </c>
    </row>
    <row r="36">
      <c r="A36" t="s">
        <v>36</v>
      </c>
      <c r="B36" t="s">
        <v>229</v>
      </c>
      <c r="C36" t="s">
        <v>129</v>
      </c>
      <c r="D36" t="s">
        <v>230</v>
      </c>
      <c r="E36" t="s">
        <v>130</v>
      </c>
      <c r="F36" t="n">
        <v>318918.650086861</v>
      </c>
      <c r="G36" t="n">
        <v>338409.333691353</v>
      </c>
      <c r="H36" t="n">
        <v>425842.799509353</v>
      </c>
      <c r="I36" t="n">
        <v>423290.000146444</v>
      </c>
      <c r="J36" t="n">
        <v>457457.148246266</v>
      </c>
      <c r="K36" t="n">
        <v>529794.95764959</v>
      </c>
      <c r="L36" t="n">
        <v>604124.399469085</v>
      </c>
      <c r="M36" t="n">
        <v>725380.824503437</v>
      </c>
      <c r="N36" t="n">
        <v>743270.206338894</v>
      </c>
      <c r="O36" t="n">
        <v>745663.220525433</v>
      </c>
      <c r="P36" t="n">
        <v>771599.405935198</v>
      </c>
      <c r="Q36" t="n">
        <v>782988.108177203</v>
      </c>
      <c r="R36" t="n">
        <v>808426.094637635</v>
      </c>
      <c r="S36" t="n">
        <v>736105.218952845</v>
      </c>
      <c r="T36" t="n">
        <v>805041.532580588</v>
      </c>
      <c r="U36" t="n">
        <v>799647.08466488</v>
      </c>
      <c r="V36" t="n">
        <v>809381.187531259</v>
      </c>
      <c r="W36" t="n">
        <v>829521.562092372</v>
      </c>
      <c r="X36" t="n">
        <v>810167.024696359</v>
      </c>
      <c r="Y36" t="n">
        <v>794025.189460187</v>
      </c>
      <c r="Z36" t="n">
        <v>726035.184140406</v>
      </c>
      <c r="AA36" t="n">
        <v>769777.83842412</v>
      </c>
      <c r="AB36" t="n">
        <v>878615.00895514</v>
      </c>
      <c r="AC36" t="n">
        <v>907067.269980619</v>
      </c>
      <c r="AD36" t="n">
        <v>899728.411908763</v>
      </c>
      <c r="AE36" t="n">
        <v>797489</v>
      </c>
      <c r="AF36" t="n">
        <v>998971</v>
      </c>
    </row>
    <row r="37">
      <c r="A37" t="s">
        <v>36</v>
      </c>
      <c r="B37" t="s">
        <v>231</v>
      </c>
      <c r="C37" t="s">
        <v>129</v>
      </c>
      <c r="D37" t="s">
        <v>232</v>
      </c>
      <c r="E37" t="s">
        <v>130</v>
      </c>
      <c r="F37" t="n">
        <v>219765.53663264</v>
      </c>
      <c r="G37" t="n">
        <v>259889.632400313</v>
      </c>
      <c r="H37" t="n">
        <v>303665.072016824</v>
      </c>
      <c r="I37" t="n">
        <v>315517.033205093</v>
      </c>
      <c r="J37" t="n">
        <v>345737.117102415</v>
      </c>
      <c r="K37" t="n">
        <v>389730.641308738</v>
      </c>
      <c r="L37" t="n">
        <v>394399.337372205</v>
      </c>
      <c r="M37" t="n">
        <v>430357.176936145</v>
      </c>
      <c r="N37" t="n">
        <v>482083.32842877</v>
      </c>
      <c r="O37" t="n">
        <v>519346.332595266</v>
      </c>
      <c r="P37" t="n">
        <v>575218.874677124</v>
      </c>
      <c r="Q37" t="n">
        <v>586843.512081345</v>
      </c>
      <c r="R37" t="n">
        <v>580820.725206865</v>
      </c>
      <c r="S37" t="n">
        <v>586088.665710064</v>
      </c>
      <c r="T37" t="n">
        <v>611379.606259835</v>
      </c>
      <c r="U37" t="n">
        <v>557165.712242814</v>
      </c>
      <c r="V37" t="n">
        <v>575069.789120518</v>
      </c>
      <c r="W37" t="n">
        <v>550413.583145457</v>
      </c>
      <c r="X37" t="n">
        <v>591776.919522364</v>
      </c>
      <c r="Y37" t="n">
        <v>612615.77393864</v>
      </c>
      <c r="Z37" t="n">
        <v>656635.281777968</v>
      </c>
      <c r="AA37" t="n">
        <v>695803.809461651</v>
      </c>
      <c r="AB37" t="n">
        <v>746514.053941636</v>
      </c>
      <c r="AC37" t="n">
        <v>799004.886881421</v>
      </c>
      <c r="AD37" t="n">
        <v>866058.72764195</v>
      </c>
      <c r="AE37" t="n">
        <v>892334</v>
      </c>
      <c r="AF37" t="n">
        <v>1077643</v>
      </c>
    </row>
    <row r="38">
      <c r="A38" t="s">
        <v>36</v>
      </c>
      <c r="B38" t="s">
        <v>233</v>
      </c>
      <c r="C38" t="s">
        <v>129</v>
      </c>
      <c r="D38" t="s">
        <v>234</v>
      </c>
      <c r="E38" t="s">
        <v>130</v>
      </c>
      <c r="F38" t="n">
        <v>154123.587307343</v>
      </c>
      <c r="G38" t="n">
        <v>185833.965728624</v>
      </c>
      <c r="H38" t="n">
        <v>219310.498082381</v>
      </c>
      <c r="I38" t="n">
        <v>297196.787836712</v>
      </c>
      <c r="J38" t="n">
        <v>343821.980955214</v>
      </c>
      <c r="K38" t="n">
        <v>396356.063293993</v>
      </c>
      <c r="L38" t="n">
        <v>479625.616602275</v>
      </c>
      <c r="M38" t="n">
        <v>542246.638485638</v>
      </c>
      <c r="N38" t="n">
        <v>549330.141628032</v>
      </c>
      <c r="O38" t="n">
        <v>556017.585816853</v>
      </c>
      <c r="P38" t="n">
        <v>585135.960444702</v>
      </c>
      <c r="Q38" t="n">
        <v>653870.242865429</v>
      </c>
      <c r="R38" t="n">
        <v>685939.583201152</v>
      </c>
      <c r="S38" t="n">
        <v>738281.857899266</v>
      </c>
      <c r="T38" t="n">
        <v>807769.766483935</v>
      </c>
      <c r="U38" t="n">
        <v>806846.84891227</v>
      </c>
      <c r="V38" t="n">
        <v>856553.258723135</v>
      </c>
      <c r="W38" t="n">
        <v>886555.394352435</v>
      </c>
      <c r="X38" t="n">
        <v>948220.125014964</v>
      </c>
      <c r="Y38" t="n">
        <v>1044466.1913891</v>
      </c>
      <c r="Z38" t="n">
        <v>1115430.15544581</v>
      </c>
      <c r="AA38" t="n">
        <v>1211380.23866971</v>
      </c>
      <c r="AB38" t="n">
        <v>1327685.91065102</v>
      </c>
      <c r="AC38" t="n">
        <v>1511158.39965607</v>
      </c>
      <c r="AD38" t="n">
        <v>1715126.0423758</v>
      </c>
      <c r="AE38" t="n">
        <v>1814557</v>
      </c>
      <c r="AF38" t="n">
        <v>2215208</v>
      </c>
    </row>
    <row r="39">
      <c r="A39" t="s">
        <v>36</v>
      </c>
      <c r="B39" t="s">
        <v>235</v>
      </c>
      <c r="C39" t="s">
        <v>129</v>
      </c>
      <c r="D39" t="s">
        <v>236</v>
      </c>
      <c r="E39" t="s">
        <v>130</v>
      </c>
      <c r="F39" t="n">
        <v>2219792.1418091</v>
      </c>
      <c r="G39" t="n">
        <v>1956646.22303397</v>
      </c>
      <c r="H39" t="n">
        <v>1646663.38284204</v>
      </c>
      <c r="I39" t="n">
        <v>1758968.41427378</v>
      </c>
      <c r="J39" t="n">
        <v>1611071.48478705</v>
      </c>
      <c r="K39" t="n">
        <v>1794520.36497164</v>
      </c>
      <c r="L39" t="n">
        <v>1818328.98502357</v>
      </c>
      <c r="M39" t="n">
        <v>1981875.80015414</v>
      </c>
      <c r="N39" t="n">
        <v>2140922.10363645</v>
      </c>
      <c r="O39" t="n">
        <v>2293699.24251962</v>
      </c>
      <c r="P39" t="n">
        <v>2442247.32477296</v>
      </c>
      <c r="Q39" t="n">
        <v>2509263.59066946</v>
      </c>
      <c r="R39" t="n">
        <v>2560853.81398818</v>
      </c>
      <c r="S39" t="n">
        <v>2606158.10813313</v>
      </c>
      <c r="T39" t="n">
        <v>2601323.36229117</v>
      </c>
      <c r="U39" t="n">
        <v>2453890.33573798</v>
      </c>
      <c r="V39" t="n">
        <v>2323435.85798826</v>
      </c>
      <c r="W39" t="n">
        <v>2244023.78466048</v>
      </c>
      <c r="X39" t="n">
        <v>2134383.88700901</v>
      </c>
      <c r="Y39" t="n">
        <v>2083428.69903976</v>
      </c>
      <c r="Z39" t="n">
        <v>2135443.01149054</v>
      </c>
      <c r="AA39" t="n">
        <v>2210038.16296103</v>
      </c>
      <c r="AB39" t="n">
        <v>2293640.84427217</v>
      </c>
      <c r="AC39" t="n">
        <v>2441783.79791088</v>
      </c>
      <c r="AD39" t="n">
        <v>2704029.26724648</v>
      </c>
      <c r="AE39" t="n">
        <v>2774246</v>
      </c>
      <c r="AF39" t="n">
        <v>3014353</v>
      </c>
    </row>
    <row r="40">
      <c r="A40" t="s">
        <v>36</v>
      </c>
      <c r="B40" t="s">
        <v>237</v>
      </c>
      <c r="C40" t="s">
        <v>129</v>
      </c>
      <c r="D40" t="s">
        <v>238</v>
      </c>
      <c r="E40" t="s">
        <v>130</v>
      </c>
      <c r="F40" t="n">
        <v>2751195.89037825</v>
      </c>
      <c r="G40" t="n">
        <v>2935820.15108338</v>
      </c>
      <c r="H40" t="n">
        <v>3016804.36114482</v>
      </c>
      <c r="I40" t="n">
        <v>2962979.0233854</v>
      </c>
      <c r="J40" t="n">
        <v>3083121.74323018</v>
      </c>
      <c r="K40" t="n">
        <v>3388761.44804252</v>
      </c>
      <c r="L40" t="n">
        <v>3540335.8660227</v>
      </c>
      <c r="M40" t="n">
        <v>3637671.85874619</v>
      </c>
      <c r="N40" t="n">
        <v>3927117.81277322</v>
      </c>
      <c r="O40" t="n">
        <v>4047416.57941918</v>
      </c>
      <c r="P40" t="n">
        <v>4333449.70252493</v>
      </c>
      <c r="Q40" t="n">
        <v>4604860.16879749</v>
      </c>
      <c r="R40" t="n">
        <v>4646566.88313855</v>
      </c>
      <c r="S40" t="n">
        <v>4688630.0430493</v>
      </c>
      <c r="T40" t="n">
        <v>4612732.28457738</v>
      </c>
      <c r="U40" t="n">
        <v>4801219.78710088</v>
      </c>
      <c r="V40" t="n">
        <v>4847280.95689303</v>
      </c>
      <c r="W40" t="n">
        <v>4734329.6839537</v>
      </c>
      <c r="X40" t="n">
        <v>4775997.82105581</v>
      </c>
      <c r="Y40" t="n">
        <v>4805050.34036493</v>
      </c>
      <c r="Z40" t="n">
        <v>4841997.65544826</v>
      </c>
      <c r="AA40" t="n">
        <v>4977926.20189694</v>
      </c>
      <c r="AB40" t="n">
        <v>5135000.37175562</v>
      </c>
      <c r="AC40" t="n">
        <v>5506432.53756853</v>
      </c>
      <c r="AD40" t="n">
        <v>5781116.92343277</v>
      </c>
      <c r="AE40" t="n">
        <v>5832171</v>
      </c>
      <c r="AF40" t="n">
        <v>5926678</v>
      </c>
    </row>
    <row r="41">
      <c r="A41" t="s">
        <v>36</v>
      </c>
      <c r="B41" t="s">
        <v>239</v>
      </c>
      <c r="C41" t="s">
        <v>129</v>
      </c>
      <c r="D41" t="s">
        <v>240</v>
      </c>
      <c r="E41" t="s">
        <v>130</v>
      </c>
      <c r="F41" t="n">
        <v>1947596.96180865</v>
      </c>
      <c r="G41" t="n">
        <v>2002533.12338145</v>
      </c>
      <c r="H41" t="n">
        <v>2035214.75047889</v>
      </c>
      <c r="I41" t="n">
        <v>2009134.65884005</v>
      </c>
      <c r="J41" t="n">
        <v>2126935.72458195</v>
      </c>
      <c r="K41" t="n">
        <v>2243606.7903851</v>
      </c>
      <c r="L41" t="n">
        <v>2307581.96193776</v>
      </c>
      <c r="M41" t="n">
        <v>2384862.16999563</v>
      </c>
      <c r="N41" t="n">
        <v>2605545.72408236</v>
      </c>
      <c r="O41" t="n">
        <v>2702041.94158474</v>
      </c>
      <c r="P41" t="n">
        <v>2775530.79334645</v>
      </c>
      <c r="Q41" t="n">
        <v>2888372.67499109</v>
      </c>
      <c r="R41" t="n">
        <v>2889668.68955448</v>
      </c>
      <c r="S41" t="n">
        <v>2844860.4699294</v>
      </c>
      <c r="T41" t="n">
        <v>2818356.38480101</v>
      </c>
      <c r="U41" t="n">
        <v>3176928.71492301</v>
      </c>
      <c r="V41" t="n">
        <v>3223327.83217176</v>
      </c>
      <c r="W41" t="n">
        <v>3179267.94584658</v>
      </c>
      <c r="X41" t="n">
        <v>3096196.00792861</v>
      </c>
      <c r="Y41" t="n">
        <v>3103924.38321995</v>
      </c>
      <c r="Z41" t="n">
        <v>3144971.48947349</v>
      </c>
      <c r="AA41" t="n">
        <v>3181232.6715315</v>
      </c>
      <c r="AB41" t="n">
        <v>3206294.57339403</v>
      </c>
      <c r="AC41" t="n">
        <v>3354379.87009159</v>
      </c>
      <c r="AD41" t="n">
        <v>3494292.6445707</v>
      </c>
      <c r="AE41" t="n">
        <v>3630608</v>
      </c>
      <c r="AF41" t="n">
        <v>3610066</v>
      </c>
    </row>
    <row r="42">
      <c r="A42" t="s">
        <v>36</v>
      </c>
      <c r="B42" t="s">
        <v>241</v>
      </c>
      <c r="C42" t="s">
        <v>129</v>
      </c>
      <c r="D42" t="s">
        <v>242</v>
      </c>
      <c r="E42" t="s">
        <v>130</v>
      </c>
      <c r="F42" t="n">
        <v>1345070.8870448</v>
      </c>
      <c r="G42" t="n">
        <v>1435426.91505391</v>
      </c>
      <c r="H42" t="n">
        <v>1590145.49153074</v>
      </c>
      <c r="I42" t="n">
        <v>1572517.24430671</v>
      </c>
      <c r="J42" t="n">
        <v>1625742.98507954</v>
      </c>
      <c r="K42" t="n">
        <v>1743223.80831507</v>
      </c>
      <c r="L42" t="n">
        <v>2058769.62573539</v>
      </c>
      <c r="M42" t="n">
        <v>2268118.30484623</v>
      </c>
      <c r="N42" t="n">
        <v>2341187.88278335</v>
      </c>
      <c r="O42" t="n">
        <v>2357378.91651744</v>
      </c>
      <c r="P42" t="n">
        <v>2433249.45086868</v>
      </c>
      <c r="Q42" t="n">
        <v>2515703.87524813</v>
      </c>
      <c r="R42" t="n">
        <v>2463981.97148297</v>
      </c>
      <c r="S42" t="n">
        <v>2566290.82940305</v>
      </c>
      <c r="T42" t="n">
        <v>2452726.32391859</v>
      </c>
      <c r="U42" t="n">
        <v>2483451.28542915</v>
      </c>
      <c r="V42" t="n">
        <v>2413980.81884392</v>
      </c>
      <c r="W42" t="n">
        <v>2355364.66156515</v>
      </c>
      <c r="X42" t="n">
        <v>2541619.51031835</v>
      </c>
      <c r="Y42" t="n">
        <v>2707023.33427308</v>
      </c>
      <c r="Z42" t="n">
        <v>2910704.9613926</v>
      </c>
      <c r="AA42" t="n">
        <v>3082545.18501201</v>
      </c>
      <c r="AB42" t="n">
        <v>3381272.04540631</v>
      </c>
      <c r="AC42" t="n">
        <v>3786768.69228096</v>
      </c>
      <c r="AD42" t="n">
        <v>4190361.50392134</v>
      </c>
      <c r="AE42" t="n">
        <v>4350514</v>
      </c>
      <c r="AF42" t="n">
        <v>4857174</v>
      </c>
    </row>
    <row r="43">
      <c r="A43" t="s">
        <v>36</v>
      </c>
      <c r="B43" t="s">
        <v>243</v>
      </c>
      <c r="C43" t="s">
        <v>129</v>
      </c>
      <c r="D43" t="s">
        <v>244</v>
      </c>
      <c r="E43" t="s">
        <v>130</v>
      </c>
      <c r="F43" t="n">
        <v>2177262.86434197</v>
      </c>
      <c r="G43" t="n">
        <v>2342721.22061266</v>
      </c>
      <c r="H43" t="n">
        <v>2496666.62774928</v>
      </c>
      <c r="I43" t="n">
        <v>2505405.63023543</v>
      </c>
      <c r="J43" t="n">
        <v>2607801.51571191</v>
      </c>
      <c r="K43" t="n">
        <v>2816453.31718666</v>
      </c>
      <c r="L43" t="n">
        <v>3345717.28318389</v>
      </c>
      <c r="M43" t="n">
        <v>3682839.11561549</v>
      </c>
      <c r="N43" t="n">
        <v>3917897.48222888</v>
      </c>
      <c r="O43" t="n">
        <v>3985971.05018416</v>
      </c>
      <c r="P43" t="n">
        <v>4122780.37508698</v>
      </c>
      <c r="Q43" t="n">
        <v>4232833.75991752</v>
      </c>
      <c r="R43" t="n">
        <v>4119702.8807455</v>
      </c>
      <c r="S43" t="n">
        <v>4286166.4235867</v>
      </c>
      <c r="T43" t="n">
        <v>4123725.44452904</v>
      </c>
      <c r="U43" t="n">
        <v>4118653.20560188</v>
      </c>
      <c r="V43" t="n">
        <v>4057255.44789359</v>
      </c>
      <c r="W43" t="n">
        <v>4009857.60654638</v>
      </c>
      <c r="X43" t="n">
        <v>4265426.63026906</v>
      </c>
      <c r="Y43" t="n">
        <v>4581695.27594118</v>
      </c>
      <c r="Z43" t="n">
        <v>4945858.81439092</v>
      </c>
      <c r="AA43" t="n">
        <v>5210846.58856792</v>
      </c>
      <c r="AB43" t="n">
        <v>5732661.48587115</v>
      </c>
      <c r="AC43" t="n">
        <v>6391086.44817551</v>
      </c>
      <c r="AD43" t="n">
        <v>6908683.4841957</v>
      </c>
      <c r="AE43" t="n">
        <v>6628783</v>
      </c>
      <c r="AF43" t="n">
        <v>7602129</v>
      </c>
    </row>
    <row r="44">
      <c r="A44" t="s">
        <v>36</v>
      </c>
      <c r="B44" t="s">
        <v>245</v>
      </c>
      <c r="C44" t="s">
        <v>129</v>
      </c>
      <c r="D44" t="s">
        <v>246</v>
      </c>
      <c r="E44" t="s">
        <v>130</v>
      </c>
      <c r="F44" t="n">
        <v>30040828.8029842</v>
      </c>
      <c r="G44" t="n">
        <v>30897009.5741494</v>
      </c>
      <c r="H44" t="n">
        <v>33175239.7050294</v>
      </c>
      <c r="I44" t="n">
        <v>35878513.7649595</v>
      </c>
      <c r="J44" t="n">
        <v>37850321.077826</v>
      </c>
      <c r="K44" t="n">
        <v>40913394.5877289</v>
      </c>
      <c r="L44" t="n">
        <v>44585274.9824796</v>
      </c>
      <c r="M44" t="n">
        <v>48269288.8999199</v>
      </c>
      <c r="N44" t="n">
        <v>50784168.8621357</v>
      </c>
      <c r="O44" t="n">
        <v>54450373.4596058</v>
      </c>
      <c r="P44" t="n">
        <v>57761787.6822642</v>
      </c>
      <c r="Q44" t="n">
        <v>60638540.7488702</v>
      </c>
      <c r="R44" t="n">
        <v>60773366.7853753</v>
      </c>
      <c r="S44" t="n">
        <v>62671484.8269866</v>
      </c>
      <c r="T44" t="n">
        <v>55949730.0015951</v>
      </c>
      <c r="U44" t="n">
        <v>57356399.7616167</v>
      </c>
      <c r="V44" t="n">
        <v>58832337.358326</v>
      </c>
      <c r="W44" t="n">
        <v>56463863.8337107</v>
      </c>
      <c r="X44" t="n">
        <v>58782252.0436602</v>
      </c>
      <c r="Y44" t="n">
        <v>62878115.5751563</v>
      </c>
      <c r="Z44" t="n">
        <v>66019270.0609222</v>
      </c>
      <c r="AA44" t="n">
        <v>67781278.6491726</v>
      </c>
      <c r="AB44" t="n">
        <v>71192572.8323424</v>
      </c>
      <c r="AC44" t="n">
        <v>76049862.628858</v>
      </c>
      <c r="AD44" t="n">
        <v>80821749.4095623</v>
      </c>
      <c r="AE44" t="n">
        <v>77773815</v>
      </c>
      <c r="AF44" t="n">
        <v>84938866</v>
      </c>
    </row>
    <row r="45">
      <c r="A45" t="s">
        <v>36</v>
      </c>
      <c r="B45" t="s">
        <v>247</v>
      </c>
      <c r="C45" t="s">
        <v>129</v>
      </c>
      <c r="D45" t="s">
        <v>248</v>
      </c>
      <c r="E45" t="s">
        <v>130</v>
      </c>
      <c r="F45" t="n">
        <v>26804660.5137149</v>
      </c>
      <c r="G45" t="n">
        <v>27505316.1257334</v>
      </c>
      <c r="H45" t="n">
        <v>30039710.9030979</v>
      </c>
      <c r="I45" t="n">
        <v>32632436.0220278</v>
      </c>
      <c r="J45" t="n">
        <v>34574656.133461</v>
      </c>
      <c r="K45" t="n">
        <v>37825813.8640518</v>
      </c>
      <c r="L45" t="n">
        <v>41150693.5404051</v>
      </c>
      <c r="M45" t="n">
        <v>45033100.1571803</v>
      </c>
      <c r="N45" t="n">
        <v>47725953.3310385</v>
      </c>
      <c r="O45" t="n">
        <v>50913707.7073884</v>
      </c>
      <c r="P45" t="n">
        <v>54411389.1508686</v>
      </c>
      <c r="Q45" t="n">
        <v>57339072.1905812</v>
      </c>
      <c r="R45" t="n">
        <v>57716057.1799449</v>
      </c>
      <c r="S45" t="n">
        <v>59123320.5504628</v>
      </c>
      <c r="T45" t="n">
        <v>52619838.2894938</v>
      </c>
      <c r="U45" t="n">
        <v>54352132.2966356</v>
      </c>
      <c r="V45" t="n">
        <v>55586313.3940509</v>
      </c>
      <c r="W45" t="n">
        <v>53547986.8530499</v>
      </c>
      <c r="X45" t="n">
        <v>55563163.865717</v>
      </c>
      <c r="Y45" t="n">
        <v>59377065.9414934</v>
      </c>
      <c r="Z45" t="n">
        <v>62541110.2145701</v>
      </c>
      <c r="AA45" t="n">
        <v>64056585.9404619</v>
      </c>
      <c r="AB45" t="n">
        <v>67608774.3654231</v>
      </c>
      <c r="AC45" t="n">
        <v>72344488.9222919</v>
      </c>
      <c r="AD45" t="n">
        <v>77087029.4131638</v>
      </c>
      <c r="AE45" t="n">
        <v>74109603</v>
      </c>
      <c r="AF45" t="n">
        <v>81256346</v>
      </c>
    </row>
    <row r="46">
      <c r="A46" t="s">
        <v>36</v>
      </c>
      <c r="B46" t="s">
        <v>249</v>
      </c>
      <c r="C46" t="s">
        <v>129</v>
      </c>
      <c r="D46" t="s">
        <v>250</v>
      </c>
      <c r="E46" t="s">
        <v>130</v>
      </c>
      <c r="F46" t="n">
        <v>830327.676002823</v>
      </c>
      <c r="G46" t="n">
        <v>906132.357760726</v>
      </c>
      <c r="H46" t="n">
        <v>901066.178995983</v>
      </c>
      <c r="I46" t="n">
        <v>929147.924142212</v>
      </c>
      <c r="J46" t="n">
        <v>979048.208600013</v>
      </c>
      <c r="K46" t="n">
        <v>1070862.7198948</v>
      </c>
      <c r="L46" t="n">
        <v>1284770.52956682</v>
      </c>
      <c r="M46" t="n">
        <v>1412181.40788983</v>
      </c>
      <c r="N46" t="n">
        <v>1579247.70736845</v>
      </c>
      <c r="O46" t="n">
        <v>1634605.84108294</v>
      </c>
      <c r="P46" t="n">
        <v>1696584.24995412</v>
      </c>
      <c r="Q46" t="n">
        <v>1721407.03298904</v>
      </c>
      <c r="R46" t="n">
        <v>1657358.6406607</v>
      </c>
      <c r="S46" t="n">
        <v>1721184.708148</v>
      </c>
      <c r="T46" t="n">
        <v>1674040.33985175</v>
      </c>
      <c r="U46" t="n">
        <v>1634541.8160246</v>
      </c>
      <c r="V46" t="n">
        <v>1646311.88654449</v>
      </c>
      <c r="W46" t="n">
        <v>1660248.5548907</v>
      </c>
      <c r="X46" t="n">
        <v>1726405.69943808</v>
      </c>
      <c r="Y46" t="n">
        <v>1879195.08386334</v>
      </c>
      <c r="Z46" t="n">
        <v>2040859.26946363</v>
      </c>
      <c r="AA46" t="n">
        <v>2133135.78337786</v>
      </c>
      <c r="AB46" t="n">
        <v>2357291.88576221</v>
      </c>
      <c r="AC46" t="n">
        <v>2610150.61801813</v>
      </c>
      <c r="AD46" t="n">
        <v>2721822.10478707</v>
      </c>
      <c r="AE46" t="n">
        <v>2278269</v>
      </c>
      <c r="AF46" t="n">
        <v>2744955</v>
      </c>
    </row>
    <row r="47">
      <c r="A47" t="s">
        <v>36</v>
      </c>
      <c r="B47" t="s">
        <v>251</v>
      </c>
      <c r="C47" t="s">
        <v>129</v>
      </c>
      <c r="D47" t="s">
        <v>252</v>
      </c>
      <c r="E47" t="s">
        <v>130</v>
      </c>
      <c r="F47" t="n">
        <v>2968781.8434738</v>
      </c>
      <c r="G47" t="n">
        <v>2894141.30877028</v>
      </c>
      <c r="H47" t="n">
        <v>2805952.03828315</v>
      </c>
      <c r="I47" t="n">
        <v>2844881.53116903</v>
      </c>
      <c r="J47" t="n">
        <v>2889033.96576633</v>
      </c>
      <c r="K47" t="n">
        <v>3006845.43907645</v>
      </c>
      <c r="L47" t="n">
        <v>3058093.98585309</v>
      </c>
      <c r="M47" t="n">
        <v>3161316.51170836</v>
      </c>
      <c r="N47" t="n">
        <v>3271169.70765226</v>
      </c>
      <c r="O47" t="n">
        <v>3300631.01481265</v>
      </c>
      <c r="P47" t="n">
        <v>3320743.35575533</v>
      </c>
      <c r="Q47" t="n">
        <v>3414665.61073564</v>
      </c>
      <c r="R47" t="n">
        <v>3459800.98023545</v>
      </c>
      <c r="S47" t="n">
        <v>3549257.30423094</v>
      </c>
      <c r="T47" t="n">
        <v>3577986.99432957</v>
      </c>
      <c r="U47" t="n">
        <v>3631214.08590162</v>
      </c>
      <c r="V47" t="n">
        <v>3586943.88648914</v>
      </c>
      <c r="W47" t="n">
        <v>3588284.34062346</v>
      </c>
      <c r="X47" t="n">
        <v>3934749.58197099</v>
      </c>
      <c r="Y47" t="n">
        <v>4220400.34838348</v>
      </c>
      <c r="Z47" t="n">
        <v>4362105.90419172</v>
      </c>
      <c r="AA47" t="n">
        <v>4390109.40733479</v>
      </c>
      <c r="AB47" t="n">
        <v>4595872.20451726</v>
      </c>
      <c r="AC47" t="n">
        <v>4701069.91027333</v>
      </c>
      <c r="AD47" t="n">
        <v>4906428.83512515</v>
      </c>
      <c r="AE47" t="n">
        <v>4774216</v>
      </c>
      <c r="AF47" t="n">
        <v>4932042</v>
      </c>
    </row>
    <row r="48">
      <c r="A48" t="s">
        <v>36</v>
      </c>
      <c r="B48" t="s">
        <v>253</v>
      </c>
      <c r="C48" t="s">
        <v>129</v>
      </c>
      <c r="D48" t="s">
        <v>254</v>
      </c>
      <c r="E48" t="s">
        <v>130</v>
      </c>
      <c r="F48" t="n">
        <v>6471845.64189233</v>
      </c>
      <c r="G48" t="n">
        <v>6477926.2680506</v>
      </c>
      <c r="H48" t="n">
        <v>6251321.77695748</v>
      </c>
      <c r="I48" t="n">
        <v>6432510.76669008</v>
      </c>
      <c r="J48" t="n">
        <v>6556826.5897203</v>
      </c>
      <c r="K48" t="n">
        <v>6936433.62349704</v>
      </c>
      <c r="L48" t="n">
        <v>7168464.39204444</v>
      </c>
      <c r="M48" t="n">
        <v>7519593.59861376</v>
      </c>
      <c r="N48" t="n">
        <v>7833199.23554097</v>
      </c>
      <c r="O48" t="n">
        <v>7948400.17430498</v>
      </c>
      <c r="P48" t="n">
        <v>8141306.42657542</v>
      </c>
      <c r="Q48" t="n">
        <v>8282822.92318912</v>
      </c>
      <c r="R48" t="n">
        <v>8224998.37358043</v>
      </c>
      <c r="S48" t="n">
        <v>8387540.19631586</v>
      </c>
      <c r="T48" t="n">
        <v>8495314.44441024</v>
      </c>
      <c r="U48" t="n">
        <v>8495133.51129879</v>
      </c>
      <c r="V48" t="n">
        <v>8441388.14778862</v>
      </c>
      <c r="W48" t="n">
        <v>8469758.68450083</v>
      </c>
      <c r="X48" t="n">
        <v>8924443.42482615</v>
      </c>
      <c r="Y48" t="n">
        <v>9301856.15174742</v>
      </c>
      <c r="Z48" t="n">
        <v>9649159.86995837</v>
      </c>
      <c r="AA48" t="n">
        <v>9786254.41774055</v>
      </c>
      <c r="AB48" t="n">
        <v>10112185.4111265</v>
      </c>
      <c r="AC48" t="n">
        <v>10373240.855072</v>
      </c>
      <c r="AD48" t="n">
        <v>10773393.7317104</v>
      </c>
      <c r="AE48" t="n">
        <v>10558392</v>
      </c>
      <c r="AF48" t="n">
        <v>10861065</v>
      </c>
    </row>
    <row r="49">
      <c r="A49" t="s">
        <v>36</v>
      </c>
      <c r="B49" t="s">
        <v>255</v>
      </c>
      <c r="C49" t="s">
        <v>129</v>
      </c>
      <c r="D49" t="s">
        <v>256</v>
      </c>
      <c r="E49" t="s">
        <v>130</v>
      </c>
      <c r="F49" t="n">
        <v>1720244.00655273</v>
      </c>
      <c r="G49" t="n">
        <v>1724018.19851501</v>
      </c>
      <c r="H49" t="n">
        <v>1701961.77036994</v>
      </c>
      <c r="I49" t="n">
        <v>1785907.82931488</v>
      </c>
      <c r="J49" t="n">
        <v>1811185.33772113</v>
      </c>
      <c r="K49" t="n">
        <v>1924606.13645725</v>
      </c>
      <c r="L49" t="n">
        <v>2031476.98332174</v>
      </c>
      <c r="M49" t="n">
        <v>2126889.20868475</v>
      </c>
      <c r="N49" t="n">
        <v>2152466.44106497</v>
      </c>
      <c r="O49" t="n">
        <v>2154376.82740921</v>
      </c>
      <c r="P49" t="n">
        <v>2185884.47980814</v>
      </c>
      <c r="Q49" t="n">
        <v>2184848.14332319</v>
      </c>
      <c r="R49" t="n">
        <v>2175176.15340408</v>
      </c>
      <c r="S49" t="n">
        <v>2187493.6742851</v>
      </c>
      <c r="T49" t="n">
        <v>2170773.90837085</v>
      </c>
      <c r="U49" t="n">
        <v>2159646.64563178</v>
      </c>
      <c r="V49" t="n">
        <v>2137264.91413061</v>
      </c>
      <c r="W49" t="n">
        <v>2144144.11757478</v>
      </c>
      <c r="X49" t="n">
        <v>2163022.92513084</v>
      </c>
      <c r="Y49" t="n">
        <v>2155220.36036086</v>
      </c>
      <c r="Z49" t="n">
        <v>2141658.25897245</v>
      </c>
      <c r="AA49" t="n">
        <v>2186359.29095077</v>
      </c>
      <c r="AB49" t="n">
        <v>2223944.53944077</v>
      </c>
      <c r="AC49" t="n">
        <v>2287069.78123118</v>
      </c>
      <c r="AD49" t="n">
        <v>2360656.26928259</v>
      </c>
      <c r="AE49" t="n">
        <v>2363572</v>
      </c>
      <c r="AF49" t="n">
        <v>2360203</v>
      </c>
    </row>
    <row r="50">
      <c r="A50" t="s">
        <v>36</v>
      </c>
      <c r="B50" t="s">
        <v>257</v>
      </c>
      <c r="C50" t="s">
        <v>129</v>
      </c>
      <c r="D50" t="s">
        <v>258</v>
      </c>
      <c r="E50" t="s">
        <v>130</v>
      </c>
      <c r="F50" t="n">
        <v>1777780.36708088</v>
      </c>
      <c r="G50" t="n">
        <v>1856026.47444983</v>
      </c>
      <c r="H50" t="n">
        <v>1741436.9673213</v>
      </c>
      <c r="I50" t="n">
        <v>1803228.972057</v>
      </c>
      <c r="J50" t="n">
        <v>1858533.2834267</v>
      </c>
      <c r="K50" t="n">
        <v>2013217.44635082</v>
      </c>
      <c r="L50" t="n">
        <v>2096865.79266119</v>
      </c>
      <c r="M50" t="n">
        <v>2259601.78717455</v>
      </c>
      <c r="N50" t="n">
        <v>2444881.24266267</v>
      </c>
      <c r="O50" t="n">
        <v>2535345.57304038</v>
      </c>
      <c r="P50" t="n">
        <v>2693188.2361318</v>
      </c>
      <c r="Q50" t="n">
        <v>2739424.48137209</v>
      </c>
      <c r="R50" t="n">
        <v>2621667.33141557</v>
      </c>
      <c r="S50" t="n">
        <v>2680873.44403952</v>
      </c>
      <c r="T50" t="n">
        <v>2789245.54631713</v>
      </c>
      <c r="U50" t="n">
        <v>2730337.2586401</v>
      </c>
      <c r="V50" t="n">
        <v>2750311.20737894</v>
      </c>
      <c r="W50" t="n">
        <v>2773529.72386974</v>
      </c>
      <c r="X50" t="n">
        <v>2839130.29114913</v>
      </c>
      <c r="Y50" t="n">
        <v>2915419.80665835</v>
      </c>
      <c r="Z50" t="n">
        <v>3147947.74986</v>
      </c>
      <c r="AA50" t="n">
        <v>3214682.59551608</v>
      </c>
      <c r="AB50" t="n">
        <v>3294966.60921204</v>
      </c>
      <c r="AC50" t="n">
        <v>3388879.4860043</v>
      </c>
      <c r="AD50" t="n">
        <v>3509260.42855169</v>
      </c>
      <c r="AE50" t="n">
        <v>3420604</v>
      </c>
      <c r="AF50" t="n">
        <v>3568820</v>
      </c>
    </row>
    <row r="51">
      <c r="A51" t="s">
        <v>36</v>
      </c>
      <c r="B51" t="s">
        <v>259</v>
      </c>
      <c r="C51" t="s">
        <v>129</v>
      </c>
      <c r="D51" t="s">
        <v>260</v>
      </c>
      <c r="E51" t="s">
        <v>130</v>
      </c>
      <c r="F51" t="n">
        <v>1444249.94462399</v>
      </c>
      <c r="G51" t="n">
        <v>1524896.77005682</v>
      </c>
      <c r="H51" t="n">
        <v>1414444.33582908</v>
      </c>
      <c r="I51" t="n">
        <v>1456491.81963998</v>
      </c>
      <c r="J51" t="n">
        <v>1510410.33248958</v>
      </c>
      <c r="K51" t="n">
        <v>1644975.57599927</v>
      </c>
      <c r="L51" t="n">
        <v>1707700.44162064</v>
      </c>
      <c r="M51" t="n">
        <v>1838606.50713923</v>
      </c>
      <c r="N51" t="n">
        <v>1988988.14939075</v>
      </c>
      <c r="O51" t="n">
        <v>2052416.67165442</v>
      </c>
      <c r="P51" t="n">
        <v>2190522.35318613</v>
      </c>
      <c r="Q51" t="n">
        <v>2223012.86497621</v>
      </c>
      <c r="R51" t="n">
        <v>2076102.5572822</v>
      </c>
      <c r="S51" t="n">
        <v>2148038.43859142</v>
      </c>
      <c r="T51" t="n">
        <v>2227151.35307354</v>
      </c>
      <c r="U51" t="n">
        <v>2176894.43636253</v>
      </c>
      <c r="V51" t="n">
        <v>2195778.94820006</v>
      </c>
      <c r="W51" t="n">
        <v>2240166.76353183</v>
      </c>
      <c r="X51" t="n">
        <v>2271431.37965554</v>
      </c>
      <c r="Y51" t="n">
        <v>2309186.39295043</v>
      </c>
      <c r="Z51" t="n">
        <v>2518755.36162169</v>
      </c>
      <c r="AA51" t="n">
        <v>2605890.94946656</v>
      </c>
      <c r="AB51" t="n">
        <v>2641780.07256302</v>
      </c>
      <c r="AC51" t="n">
        <v>2705325.94732666</v>
      </c>
      <c r="AD51" t="n">
        <v>2784177.8568275</v>
      </c>
      <c r="AE51" t="n">
        <v>2700392</v>
      </c>
      <c r="AF51" t="n">
        <v>2852532</v>
      </c>
    </row>
    <row r="52">
      <c r="A52" t="s">
        <v>36</v>
      </c>
      <c r="B52" t="s">
        <v>261</v>
      </c>
      <c r="C52" t="s">
        <v>129</v>
      </c>
      <c r="D52" t="s">
        <v>262</v>
      </c>
      <c r="E52" t="s">
        <v>130</v>
      </c>
      <c r="F52" t="n">
        <v>340230.283290012</v>
      </c>
      <c r="G52" t="n">
        <v>338320.437356862</v>
      </c>
      <c r="H52" t="n">
        <v>333588.052087652</v>
      </c>
      <c r="I52" t="n">
        <v>353482.521400657</v>
      </c>
      <c r="J52" t="n">
        <v>355046.589703548</v>
      </c>
      <c r="K52" t="n">
        <v>375646.912374071</v>
      </c>
      <c r="L52" t="n">
        <v>396966.387741101</v>
      </c>
      <c r="M52" t="n">
        <v>429385.732375205</v>
      </c>
      <c r="N52" t="n">
        <v>464966.029770818</v>
      </c>
      <c r="O52" t="n">
        <v>491686.04014809</v>
      </c>
      <c r="P52" t="n">
        <v>513090.972120135</v>
      </c>
      <c r="Q52" t="n">
        <v>526244.891933179</v>
      </c>
      <c r="R52" t="n">
        <v>545818.856807158</v>
      </c>
      <c r="S52" t="n">
        <v>536914.232269838</v>
      </c>
      <c r="T52" t="n">
        <v>564996.257106473</v>
      </c>
      <c r="U52" t="n">
        <v>555779.406685342</v>
      </c>
      <c r="V52" t="n">
        <v>557287.503397896</v>
      </c>
      <c r="W52" t="n">
        <v>539249.640599407</v>
      </c>
      <c r="X52" t="n">
        <v>571412.889269438</v>
      </c>
      <c r="Y52" t="n">
        <v>607650.749185321</v>
      </c>
      <c r="Z52" t="n">
        <v>633459.246993997</v>
      </c>
      <c r="AA52" t="n">
        <v>616670.403591908</v>
      </c>
      <c r="AB52" t="n">
        <v>658316.095883336</v>
      </c>
      <c r="AC52" t="n">
        <v>687488.200227625</v>
      </c>
      <c r="AD52" t="n">
        <v>727112.775844533</v>
      </c>
      <c r="AE52" t="n">
        <v>720212</v>
      </c>
      <c r="AF52" t="n">
        <v>716288</v>
      </c>
    </row>
    <row r="53">
      <c r="A53" t="s">
        <v>36</v>
      </c>
      <c r="B53" t="s">
        <v>263</v>
      </c>
      <c r="C53" t="s">
        <v>129</v>
      </c>
      <c r="D53" t="s">
        <v>264</v>
      </c>
      <c r="E53" t="s">
        <v>130</v>
      </c>
      <c r="F53" t="n">
        <v>540951.726885872</v>
      </c>
      <c r="G53" t="n">
        <v>535095.19899938</v>
      </c>
      <c r="H53" t="n">
        <v>449556.126486638</v>
      </c>
      <c r="I53" t="n">
        <v>519451.130882397</v>
      </c>
      <c r="J53" t="n">
        <v>500350.174830127</v>
      </c>
      <c r="K53" t="n">
        <v>544199.577939677</v>
      </c>
      <c r="L53" t="n">
        <v>563179.195697913</v>
      </c>
      <c r="M53" t="n">
        <v>648333.653838549</v>
      </c>
      <c r="N53" t="n">
        <v>638633.921685396</v>
      </c>
      <c r="O53" t="n">
        <v>626199.736909544</v>
      </c>
      <c r="P53" t="n">
        <v>634748.883439132</v>
      </c>
      <c r="Q53" t="n">
        <v>648916.473068421</v>
      </c>
      <c r="R53" t="n">
        <v>640389.436640554</v>
      </c>
      <c r="S53" t="n">
        <v>695261.103045648</v>
      </c>
      <c r="T53" t="n">
        <v>666855.534204278</v>
      </c>
      <c r="U53" t="n">
        <v>692848.430348373</v>
      </c>
      <c r="V53" t="n">
        <v>696174.635006791</v>
      </c>
      <c r="W53" t="n">
        <v>682325.524384364</v>
      </c>
      <c r="X53" t="n">
        <v>731644.134441213</v>
      </c>
      <c r="Y53" t="n">
        <v>799358.136063462</v>
      </c>
      <c r="Z53" t="n">
        <v>885295.602093852</v>
      </c>
      <c r="AA53" t="n">
        <v>983035.518061321</v>
      </c>
      <c r="AB53" t="n">
        <v>1166387.5927381</v>
      </c>
      <c r="AC53" t="n">
        <v>1183051.61526442</v>
      </c>
      <c r="AD53" t="n">
        <v>1262189.18687496</v>
      </c>
      <c r="AE53" t="n">
        <v>1099395</v>
      </c>
      <c r="AF53" t="n">
        <v>1242571</v>
      </c>
    </row>
    <row r="54">
      <c r="A54" t="s">
        <v>36</v>
      </c>
      <c r="B54" t="s">
        <v>265</v>
      </c>
      <c r="C54" t="s">
        <v>129</v>
      </c>
      <c r="D54" t="s">
        <v>266</v>
      </c>
      <c r="E54" t="s">
        <v>130</v>
      </c>
      <c r="F54" t="n">
        <v>1366873.55108396</v>
      </c>
      <c r="G54" t="n">
        <v>1312158.42929802</v>
      </c>
      <c r="H54" t="n">
        <v>1233896.21272426</v>
      </c>
      <c r="I54" t="n">
        <v>1328719.8604689</v>
      </c>
      <c r="J54" t="n">
        <v>1313491.41943915</v>
      </c>
      <c r="K54" t="n">
        <v>1328695.21009881</v>
      </c>
      <c r="L54" t="n">
        <v>1415734.43243162</v>
      </c>
      <c r="M54" t="n">
        <v>1546161.29896682</v>
      </c>
      <c r="N54" t="n">
        <v>1509901.5833494</v>
      </c>
      <c r="O54" t="n">
        <v>1523215.39302647</v>
      </c>
      <c r="P54" t="n">
        <v>1587134.22321881</v>
      </c>
      <c r="Q54" t="n">
        <v>1578818.50215706</v>
      </c>
      <c r="R54" t="n">
        <v>1566127.96563844</v>
      </c>
      <c r="S54" t="n">
        <v>1616544.67711541</v>
      </c>
      <c r="T54" t="n">
        <v>1583841.6559742</v>
      </c>
      <c r="U54" t="n">
        <v>1550702.65868648</v>
      </c>
      <c r="V54" t="n">
        <v>1550803.83138373</v>
      </c>
      <c r="W54" t="n">
        <v>1485474.29890161</v>
      </c>
      <c r="X54" t="n">
        <v>1543687.26742526</v>
      </c>
      <c r="Y54" t="n">
        <v>1650895.86454395</v>
      </c>
      <c r="Z54" t="n">
        <v>1764015.75370135</v>
      </c>
      <c r="AA54" t="n">
        <v>1852622.02275402</v>
      </c>
      <c r="AB54" t="n">
        <v>2059161.73018821</v>
      </c>
      <c r="AC54" t="n">
        <v>2141894.01443125</v>
      </c>
      <c r="AD54" t="n">
        <v>2272026.00706321</v>
      </c>
      <c r="AE54" t="n">
        <v>2034323</v>
      </c>
      <c r="AF54" t="n">
        <v>2248227</v>
      </c>
    </row>
    <row r="55">
      <c r="A55" t="s">
        <v>36</v>
      </c>
      <c r="B55" t="s">
        <v>267</v>
      </c>
      <c r="C55" t="s">
        <v>129</v>
      </c>
      <c r="D55" t="s">
        <v>268</v>
      </c>
      <c r="E55" t="s">
        <v>130</v>
      </c>
      <c r="F55" t="n">
        <v>837191.154183206</v>
      </c>
      <c r="G55" t="n">
        <v>784088.932298475</v>
      </c>
      <c r="H55" t="n">
        <v>804152.903538288</v>
      </c>
      <c r="I55" t="n">
        <v>821762.407688081</v>
      </c>
      <c r="J55" t="n">
        <v>829012.157112874</v>
      </c>
      <c r="K55" t="n">
        <v>790295.390494624</v>
      </c>
      <c r="L55" t="n">
        <v>863301.704037224</v>
      </c>
      <c r="M55" t="n">
        <v>900321.31458728</v>
      </c>
      <c r="N55" t="n">
        <v>871987.647786203</v>
      </c>
      <c r="O55" t="n">
        <v>902150.860146031</v>
      </c>
      <c r="P55" t="n">
        <v>961568.917151503</v>
      </c>
      <c r="Q55" t="n">
        <v>935337.648753602</v>
      </c>
      <c r="R55" t="n">
        <v>931643.83461112</v>
      </c>
      <c r="S55" t="n">
        <v>921807.067307284</v>
      </c>
      <c r="T55" t="n">
        <v>918953.00457105</v>
      </c>
      <c r="U55" t="n">
        <v>857165.022170515</v>
      </c>
      <c r="V55" t="n">
        <v>853720.170378299</v>
      </c>
      <c r="W55" t="n">
        <v>801040.65491136</v>
      </c>
      <c r="X55" t="n">
        <v>808875.24658871</v>
      </c>
      <c r="Y55" t="n">
        <v>848090.913002387</v>
      </c>
      <c r="Z55" t="n">
        <v>875286.426941051</v>
      </c>
      <c r="AA55" t="n">
        <v>867991.622097103</v>
      </c>
      <c r="AB55" t="n">
        <v>893648.629494953</v>
      </c>
      <c r="AC55" t="n">
        <v>959765.953604841</v>
      </c>
      <c r="AD55" t="n">
        <v>1010665.17117527</v>
      </c>
      <c r="AE55" t="n">
        <v>934928</v>
      </c>
      <c r="AF55" t="n">
        <v>1005656</v>
      </c>
    </row>
    <row r="56">
      <c r="A56" t="s">
        <v>36</v>
      </c>
      <c r="B56" t="s">
        <v>269</v>
      </c>
      <c r="C56" t="s">
        <v>129</v>
      </c>
      <c r="D56" t="s">
        <v>270</v>
      </c>
      <c r="E56" t="s">
        <v>130</v>
      </c>
      <c r="F56" t="n">
        <v>4641.84091570598</v>
      </c>
      <c r="G56" t="n">
        <v>4938.12863372977</v>
      </c>
      <c r="H56" t="n">
        <v>6065.42971381284</v>
      </c>
      <c r="I56" t="n">
        <v>6648.55219220935</v>
      </c>
      <c r="J56" t="n">
        <v>6894.79486599488</v>
      </c>
      <c r="K56" t="n">
        <v>7950.19921978404</v>
      </c>
      <c r="L56" t="n">
        <v>9179.21552429172</v>
      </c>
      <c r="M56" t="n">
        <v>9733.08005423203</v>
      </c>
      <c r="N56" t="n">
        <v>8811.30011968418</v>
      </c>
      <c r="O56" t="n">
        <v>8133.50780278539</v>
      </c>
      <c r="P56" t="n">
        <v>7290.05061877152</v>
      </c>
      <c r="Q56" t="n">
        <v>8420.0084646811</v>
      </c>
      <c r="R56" t="n">
        <v>7249.47498819572</v>
      </c>
      <c r="S56" t="n">
        <v>5969.79570396185</v>
      </c>
      <c r="T56" t="n">
        <v>3995.91164055511</v>
      </c>
      <c r="U56" t="n">
        <v>5873.38335713696</v>
      </c>
      <c r="V56" t="n">
        <v>5788.69504749207</v>
      </c>
      <c r="W56" t="n">
        <v>5732.64959060072</v>
      </c>
      <c r="X56" t="n">
        <v>5677.12392702684</v>
      </c>
      <c r="Y56" t="n">
        <v>5490.07840253278</v>
      </c>
      <c r="Z56" t="n">
        <v>7772.31176677742</v>
      </c>
      <c r="AA56" t="n">
        <v>8455.06985596517</v>
      </c>
      <c r="AB56" t="n">
        <v>8054.08058354498</v>
      </c>
      <c r="AC56" t="n">
        <v>13956.2504724772</v>
      </c>
      <c r="AD56" t="n">
        <v>9692.36237388724</v>
      </c>
      <c r="AE56" t="n">
        <v>9133</v>
      </c>
      <c r="AF56" t="n">
        <v>8270</v>
      </c>
    </row>
    <row r="57">
      <c r="A57" t="s">
        <v>36</v>
      </c>
      <c r="B57" t="s">
        <v>271</v>
      </c>
      <c r="C57" t="s">
        <v>129</v>
      </c>
      <c r="D57" t="s">
        <v>272</v>
      </c>
      <c r="E57" t="s">
        <v>130</v>
      </c>
      <c r="F57" t="n">
        <v>38519792.222942</v>
      </c>
      <c r="G57" t="n">
        <v>39552954.1952985</v>
      </c>
      <c r="H57" t="n">
        <v>41902032.1716655</v>
      </c>
      <c r="I57" t="n">
        <v>44897039.3022073</v>
      </c>
      <c r="J57" t="n">
        <v>47169939.1357226</v>
      </c>
      <c r="K57" t="n">
        <v>50915207.1029776</v>
      </c>
      <c r="L57" t="n">
        <v>55081025.1919401</v>
      </c>
      <c r="M57" t="n">
        <v>59289598.9280389</v>
      </c>
      <c r="N57" t="n">
        <v>62394091.3384177</v>
      </c>
      <c r="O57" t="n">
        <v>66352915.6695872</v>
      </c>
      <c r="P57" t="n">
        <v>70152551.5509208</v>
      </c>
      <c r="Q57" t="n">
        <v>73447266.4578226</v>
      </c>
      <c r="R57" t="n">
        <v>73565402.7780145</v>
      </c>
      <c r="S57" t="n">
        <v>75690946.7206226</v>
      </c>
      <c r="T57" t="n">
        <v>68859706.9951905</v>
      </c>
      <c r="U57" t="n">
        <v>70462942.5653859</v>
      </c>
      <c r="V57" t="n">
        <v>71970884.591119</v>
      </c>
      <c r="W57" t="n">
        <v>69449274.829337</v>
      </c>
      <c r="X57" t="n">
        <v>72269275.6490569</v>
      </c>
      <c r="Y57" t="n">
        <v>76864132.3631004</v>
      </c>
      <c r="Z57" t="n">
        <v>80442908.9674159</v>
      </c>
      <c r="AA57" t="n">
        <v>82491154.2508977</v>
      </c>
      <c r="AB57" t="n">
        <v>86410564.9293995</v>
      </c>
      <c r="AC57" t="n">
        <v>91931827.0958775</v>
      </c>
      <c r="AD57" t="n">
        <v>97392095.9132752</v>
      </c>
      <c r="AE57" t="n">
        <v>94173511</v>
      </c>
      <c r="AF57" t="n">
        <v>101734879</v>
      </c>
    </row>
    <row r="58">
      <c r="A58" t="s">
        <v>36</v>
      </c>
      <c r="B58" t="s">
        <v>273</v>
      </c>
      <c r="C58" t="s">
        <v>129</v>
      </c>
      <c r="D58" t="s">
        <v>274</v>
      </c>
      <c r="E58" t="s">
        <v>130</v>
      </c>
      <c r="F58" t="n">
        <v>38515385.786641</v>
      </c>
      <c r="G58" t="n">
        <v>39548339.8763417</v>
      </c>
      <c r="H58" t="n">
        <v>41896711.5615113</v>
      </c>
      <c r="I58" t="n">
        <v>44891262.8676774</v>
      </c>
      <c r="J58" t="n">
        <v>47163916.4026394</v>
      </c>
      <c r="K58" t="n">
        <v>50908442.6272062</v>
      </c>
      <c r="L58" t="n">
        <v>55073403.3089509</v>
      </c>
      <c r="M58" t="n">
        <v>59281477.1221309</v>
      </c>
      <c r="N58" t="n">
        <v>62386399.8222816</v>
      </c>
      <c r="O58" t="n">
        <v>66345520.0901492</v>
      </c>
      <c r="P58" t="n">
        <v>70145611.3631895</v>
      </c>
      <c r="Q58" t="n">
        <v>73439468.2386222</v>
      </c>
      <c r="R58" t="n">
        <v>73558381.3053097</v>
      </c>
      <c r="S58" t="n">
        <v>75684740.153918</v>
      </c>
      <c r="T58" t="n">
        <v>68855060.6332323</v>
      </c>
      <c r="U58" t="n">
        <v>70456841.4971676</v>
      </c>
      <c r="V58" t="n">
        <v>71964813.9850225</v>
      </c>
      <c r="W58" t="n">
        <v>69443304.535961</v>
      </c>
      <c r="X58" t="n">
        <v>72263291.8738125</v>
      </c>
      <c r="Y58" t="n">
        <v>76858212.3584923</v>
      </c>
      <c r="Z58" t="n">
        <v>80435032.8624432</v>
      </c>
      <c r="AA58" t="n">
        <v>82482662.3994038</v>
      </c>
      <c r="AB58" t="n">
        <v>86402370.4836923</v>
      </c>
      <c r="AC58" t="n">
        <v>91918271.3830428</v>
      </c>
      <c r="AD58" t="n">
        <v>97382414.1319796</v>
      </c>
      <c r="AE58" t="n">
        <v>94164378</v>
      </c>
      <c r="AF58" t="n">
        <v>101726609</v>
      </c>
    </row>
    <row r="59">
      <c r="A59" t="s">
        <v>36</v>
      </c>
      <c r="B59" t="s">
        <v>275</v>
      </c>
      <c r="C59" t="s">
        <v>129</v>
      </c>
      <c r="D59" t="s">
        <v>276</v>
      </c>
      <c r="E59" t="s">
        <v>130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>
      <c r="A2" t="s">
        <v>38</v>
      </c>
      <c r="B2" t="s">
        <v>84</v>
      </c>
      <c r="C2" t="s">
        <v>129</v>
      </c>
      <c r="D2" t="s">
        <v>86</v>
      </c>
      <c r="E2" t="s">
        <v>130</v>
      </c>
      <c r="F2" t="n">
        <v>2485432.85248291</v>
      </c>
      <c r="G2" t="n">
        <v>2603792.38987058</v>
      </c>
      <c r="H2" t="n">
        <v>2350854.75854285</v>
      </c>
      <c r="I2" t="n">
        <v>2422567.52365024</v>
      </c>
      <c r="J2" t="n">
        <v>2400896.38322939</v>
      </c>
      <c r="K2" t="n">
        <v>2264866.9739236</v>
      </c>
      <c r="L2" t="n">
        <v>2506256.01836737</v>
      </c>
      <c r="M2" t="n">
        <v>2490099.48390943</v>
      </c>
      <c r="N2" t="n">
        <v>2275471.09646035</v>
      </c>
      <c r="O2" t="n">
        <v>2127073.55993221</v>
      </c>
      <c r="P2" t="n">
        <v>1994150.19571509</v>
      </c>
      <c r="Q2" t="n">
        <v>2007743.71954777</v>
      </c>
      <c r="R2" t="n">
        <v>2007879.23807966</v>
      </c>
      <c r="S2" t="n">
        <v>1805766.80723096</v>
      </c>
      <c r="T2" t="n">
        <v>1804221.66279361</v>
      </c>
      <c r="U2" t="n">
        <v>1675425.13669568</v>
      </c>
      <c r="V2" t="n">
        <v>1741843.14929603</v>
      </c>
      <c r="W2" t="n">
        <v>1702788.21978062</v>
      </c>
      <c r="X2" t="n">
        <v>1814872.36058898</v>
      </c>
      <c r="Y2" t="n">
        <v>1890256.99731786</v>
      </c>
      <c r="Z2" t="n">
        <v>1878074.28392912</v>
      </c>
      <c r="AA2" t="n">
        <v>1927946.92343761</v>
      </c>
      <c r="AB2" t="n">
        <v>1876990.89124594</v>
      </c>
      <c r="AC2" t="n">
        <v>1908755.28275559</v>
      </c>
      <c r="AD2" t="n">
        <v>1952949.24962875</v>
      </c>
      <c r="AE2" t="n">
        <v>2023028</v>
      </c>
      <c r="AF2" t="n">
        <v>2015635</v>
      </c>
    </row>
    <row r="3">
      <c r="A3" t="s">
        <v>38</v>
      </c>
      <c r="B3" t="s">
        <v>163</v>
      </c>
      <c r="C3" t="s">
        <v>129</v>
      </c>
      <c r="D3" t="s">
        <v>164</v>
      </c>
      <c r="E3" t="s">
        <v>130</v>
      </c>
      <c r="F3" t="n">
        <v>89861.0695828409</v>
      </c>
      <c r="G3" t="n">
        <v>95622.0645675573</v>
      </c>
      <c r="H3" t="n">
        <v>96165.3423544516</v>
      </c>
      <c r="I3" t="n">
        <v>83466.355932754</v>
      </c>
      <c r="J3" t="n">
        <v>76886.4162695648</v>
      </c>
      <c r="K3" t="n">
        <v>76908.9012179711</v>
      </c>
      <c r="L3" t="n">
        <v>87860.3568213163</v>
      </c>
      <c r="M3" t="n">
        <v>87296.3630172156</v>
      </c>
      <c r="N3" t="n">
        <v>82259.6328565623</v>
      </c>
      <c r="O3" t="n">
        <v>86804.6277369164</v>
      </c>
      <c r="P3" t="n">
        <v>96511.1450762936</v>
      </c>
      <c r="Q3" t="n">
        <v>127720.764898586</v>
      </c>
      <c r="R3" t="n">
        <v>115861.899605915</v>
      </c>
      <c r="S3" t="n">
        <v>97535.8591089259</v>
      </c>
      <c r="T3" t="n">
        <v>93088.3849280993</v>
      </c>
      <c r="U3" t="n">
        <v>57340.7145590032</v>
      </c>
      <c r="V3" t="n">
        <v>52232.3929894536</v>
      </c>
      <c r="W3" t="n">
        <v>47766.6151301135</v>
      </c>
      <c r="X3" t="n">
        <v>57718.3231257125</v>
      </c>
      <c r="Y3" t="n">
        <v>65849.1917118135</v>
      </c>
      <c r="Z3" t="n">
        <v>56766.9369027122</v>
      </c>
      <c r="AA3" t="n">
        <v>45561.4630101638</v>
      </c>
      <c r="AB3" t="n">
        <v>55819.373170668</v>
      </c>
      <c r="AC3" t="n">
        <v>91242.7209738388</v>
      </c>
      <c r="AD3" t="n">
        <v>110843.296147053</v>
      </c>
      <c r="AE3" t="n">
        <v>97783</v>
      </c>
      <c r="AF3" t="n">
        <v>93826</v>
      </c>
    </row>
    <row r="4">
      <c r="A4" t="s">
        <v>38</v>
      </c>
      <c r="B4" t="s">
        <v>165</v>
      </c>
      <c r="C4" t="s">
        <v>129</v>
      </c>
      <c r="D4" t="s">
        <v>166</v>
      </c>
      <c r="E4" t="s">
        <v>130</v>
      </c>
      <c r="F4" t="n">
        <v>5894301.18684203</v>
      </c>
      <c r="G4" t="n">
        <v>6209284.98182406</v>
      </c>
      <c r="H4" t="n">
        <v>7308186.56904835</v>
      </c>
      <c r="I4" t="n">
        <v>8355062.63077854</v>
      </c>
      <c r="J4" t="n">
        <v>9328405.98360611</v>
      </c>
      <c r="K4" t="n">
        <v>10957439.7816723</v>
      </c>
      <c r="L4" t="n">
        <v>11874147.5612354</v>
      </c>
      <c r="M4" t="n">
        <v>12783017.0380598</v>
      </c>
      <c r="N4" t="n">
        <v>14278380.7546711</v>
      </c>
      <c r="O4" t="n">
        <v>15821425.9647295</v>
      </c>
      <c r="P4" t="n">
        <v>17339082.9650405</v>
      </c>
      <c r="Q4" t="n">
        <v>18975544.8975589</v>
      </c>
      <c r="R4" t="n">
        <v>19314945.9608408</v>
      </c>
      <c r="S4" t="n">
        <v>20235438.6178188</v>
      </c>
      <c r="T4" t="n">
        <v>16633275.1534221</v>
      </c>
      <c r="U4" t="n">
        <v>19067745.871019</v>
      </c>
      <c r="V4" t="n">
        <v>20473148.6695139</v>
      </c>
      <c r="W4" t="n">
        <v>19373107.4506496</v>
      </c>
      <c r="X4" t="n">
        <v>20277693.5445459</v>
      </c>
      <c r="Y4" t="n">
        <v>21953052.9013325</v>
      </c>
      <c r="Z4" t="n">
        <v>23255177.3466453</v>
      </c>
      <c r="AA4" t="n">
        <v>23838876.5526844</v>
      </c>
      <c r="AB4" t="n">
        <v>24578104.562098</v>
      </c>
      <c r="AC4" t="n">
        <v>25677875.9612075</v>
      </c>
      <c r="AD4" t="n">
        <v>27229318.9978899</v>
      </c>
      <c r="AE4" t="n">
        <v>26427903</v>
      </c>
      <c r="AF4" t="n">
        <v>28684513</v>
      </c>
    </row>
    <row r="5">
      <c r="A5" t="s">
        <v>38</v>
      </c>
      <c r="B5" t="s">
        <v>167</v>
      </c>
      <c r="C5" t="s">
        <v>129</v>
      </c>
      <c r="D5" t="s">
        <v>168</v>
      </c>
      <c r="E5" t="s">
        <v>130</v>
      </c>
      <c r="F5" t="n">
        <v>2533222.55356101</v>
      </c>
      <c r="G5" t="n">
        <v>2498423.22449214</v>
      </c>
      <c r="H5" t="n">
        <v>2413232.77375556</v>
      </c>
      <c r="I5" t="n">
        <v>2398633.80716894</v>
      </c>
      <c r="J5" t="n">
        <v>2274440.93272413</v>
      </c>
      <c r="K5" t="n">
        <v>2469181.88677889</v>
      </c>
      <c r="L5" t="n">
        <v>2735797.82547643</v>
      </c>
      <c r="M5" t="n">
        <v>2870341.00465188</v>
      </c>
      <c r="N5" t="n">
        <v>2927415.89907862</v>
      </c>
      <c r="O5" t="n">
        <v>2915603.428118</v>
      </c>
      <c r="P5" t="n">
        <v>2839631.64640745</v>
      </c>
      <c r="Q5" t="n">
        <v>2873415.68573653</v>
      </c>
      <c r="R5" t="n">
        <v>2552551.018472</v>
      </c>
      <c r="S5" t="n">
        <v>2653798.89407331</v>
      </c>
      <c r="T5" t="n">
        <v>2496012.24095118</v>
      </c>
      <c r="U5" t="n">
        <v>2380214.28477217</v>
      </c>
      <c r="V5" t="n">
        <v>2561935.10848018</v>
      </c>
      <c r="W5" t="n">
        <v>2635810.26982204</v>
      </c>
      <c r="X5" t="n">
        <v>2761581.18507314</v>
      </c>
      <c r="Y5" t="n">
        <v>2729891.97632297</v>
      </c>
      <c r="Z5" t="n">
        <v>2813236.35840936</v>
      </c>
      <c r="AA5" t="n">
        <v>2900945.65299315</v>
      </c>
      <c r="AB5" t="n">
        <v>2940841.1688242</v>
      </c>
      <c r="AC5" t="n">
        <v>3026358.22231316</v>
      </c>
      <c r="AD5" t="n">
        <v>3120560.30809419</v>
      </c>
      <c r="AE5" t="n">
        <v>3202461</v>
      </c>
      <c r="AF5" t="n">
        <v>3390519</v>
      </c>
    </row>
    <row r="6">
      <c r="A6" t="s">
        <v>38</v>
      </c>
      <c r="B6" t="s">
        <v>169</v>
      </c>
      <c r="C6" t="s">
        <v>129</v>
      </c>
      <c r="D6" t="s">
        <v>170</v>
      </c>
      <c r="E6" t="s">
        <v>130</v>
      </c>
      <c r="F6" t="n">
        <v>258164.363017076</v>
      </c>
      <c r="G6" t="n">
        <v>243714.641579578</v>
      </c>
      <c r="H6" t="n">
        <v>277229.540493546</v>
      </c>
      <c r="I6" t="n">
        <v>309749.748271177</v>
      </c>
      <c r="J6" t="n">
        <v>316600.754828934</v>
      </c>
      <c r="K6" t="n">
        <v>372190.183769946</v>
      </c>
      <c r="L6" t="n">
        <v>424130.160982173</v>
      </c>
      <c r="M6" t="n">
        <v>398188.962680913</v>
      </c>
      <c r="N6" t="n">
        <v>376514.981299426</v>
      </c>
      <c r="O6" t="n">
        <v>372971.896194257</v>
      </c>
      <c r="P6" t="n">
        <v>348889.699931737</v>
      </c>
      <c r="Q6" t="n">
        <v>355526.009733597</v>
      </c>
      <c r="R6" t="n">
        <v>347357.287707422</v>
      </c>
      <c r="S6" t="n">
        <v>298217.624408085</v>
      </c>
      <c r="T6" t="n">
        <v>237814.907456552</v>
      </c>
      <c r="U6" t="n">
        <v>227071.636875266</v>
      </c>
      <c r="V6" t="n">
        <v>281026.289921555</v>
      </c>
      <c r="W6" t="n">
        <v>263071.359339501</v>
      </c>
      <c r="X6" t="n">
        <v>268793.488284223</v>
      </c>
      <c r="Y6" t="n">
        <v>296552.865731971</v>
      </c>
      <c r="Z6" t="n">
        <v>308954.487992955</v>
      </c>
      <c r="AA6" t="n">
        <v>320718.850466823</v>
      </c>
      <c r="AB6" t="n">
        <v>338269.773521742</v>
      </c>
      <c r="AC6" t="n">
        <v>333058.660379474</v>
      </c>
      <c r="AD6" t="n">
        <v>297604.541911286</v>
      </c>
      <c r="AE6" t="n">
        <v>260165</v>
      </c>
      <c r="AF6" t="n">
        <v>285150</v>
      </c>
    </row>
    <row r="7">
      <c r="A7" t="s">
        <v>38</v>
      </c>
      <c r="B7" t="s">
        <v>171</v>
      </c>
      <c r="C7" t="s">
        <v>129</v>
      </c>
      <c r="D7" t="s">
        <v>172</v>
      </c>
      <c r="E7" t="s">
        <v>130</v>
      </c>
      <c r="F7" t="n">
        <v>406745.437471499</v>
      </c>
      <c r="G7" t="n">
        <v>396243.287306499</v>
      </c>
      <c r="H7" t="n">
        <v>435445.348748993</v>
      </c>
      <c r="I7" t="n">
        <v>439701.531856192</v>
      </c>
      <c r="J7" t="n">
        <v>484306.184497519</v>
      </c>
      <c r="K7" t="n">
        <v>549255.074112732</v>
      </c>
      <c r="L7" t="n">
        <v>633523.676080845</v>
      </c>
      <c r="M7" t="n">
        <v>650358.905661722</v>
      </c>
      <c r="N7" t="n">
        <v>669951.651687066</v>
      </c>
      <c r="O7" t="n">
        <v>700575.072956346</v>
      </c>
      <c r="P7" t="n">
        <v>709856.853213762</v>
      </c>
      <c r="Q7" t="n">
        <v>718596.849204912</v>
      </c>
      <c r="R7" t="n">
        <v>683429.32394627</v>
      </c>
      <c r="S7" t="n">
        <v>641652.332224309</v>
      </c>
      <c r="T7" t="n">
        <v>595291.387189781</v>
      </c>
      <c r="U7" t="n">
        <v>674816.92718422</v>
      </c>
      <c r="V7" t="n">
        <v>713933.253879417</v>
      </c>
      <c r="W7" t="n">
        <v>638428.218884246</v>
      </c>
      <c r="X7" t="n">
        <v>654649.192097215</v>
      </c>
      <c r="Y7" t="n">
        <v>701627.775840213</v>
      </c>
      <c r="Z7" t="n">
        <v>743415.719201922</v>
      </c>
      <c r="AA7" t="n">
        <v>787468.689324745</v>
      </c>
      <c r="AB7" t="n">
        <v>804890.85927398</v>
      </c>
      <c r="AC7" t="n">
        <v>826639.046940728</v>
      </c>
      <c r="AD7" t="n">
        <v>824975.622890583</v>
      </c>
      <c r="AE7" t="n">
        <v>830059</v>
      </c>
      <c r="AF7" t="n">
        <v>923691</v>
      </c>
    </row>
    <row r="8">
      <c r="A8" t="s">
        <v>38</v>
      </c>
      <c r="B8" t="s">
        <v>173</v>
      </c>
      <c r="C8" t="s">
        <v>129</v>
      </c>
      <c r="D8" t="s">
        <v>174</v>
      </c>
      <c r="E8" t="s">
        <v>130</v>
      </c>
      <c r="F8" t="n">
        <v>875623.965537441</v>
      </c>
      <c r="G8" t="n">
        <v>892779.651754445</v>
      </c>
      <c r="H8" t="n">
        <v>949725.130698039</v>
      </c>
      <c r="I8" t="n">
        <v>1003215.26321148</v>
      </c>
      <c r="J8" t="n">
        <v>1039691.59493897</v>
      </c>
      <c r="K8" t="n">
        <v>1052770.48421692</v>
      </c>
      <c r="L8" t="n">
        <v>1001563.2719838</v>
      </c>
      <c r="M8" t="n">
        <v>1072223.2416298</v>
      </c>
      <c r="N8" t="n">
        <v>1096462.75728775</v>
      </c>
      <c r="O8" t="n">
        <v>1043336.46188328</v>
      </c>
      <c r="P8" t="n">
        <v>1310930.38934301</v>
      </c>
      <c r="Q8" t="n">
        <v>1239960.76664035</v>
      </c>
      <c r="R8" t="n">
        <v>1257295.71043043</v>
      </c>
      <c r="S8" t="n">
        <v>1343595.26584095</v>
      </c>
      <c r="T8" t="n">
        <v>1079052.68571981</v>
      </c>
      <c r="U8" t="n">
        <v>1253886.7493775</v>
      </c>
      <c r="V8" t="n">
        <v>1442422.44200154</v>
      </c>
      <c r="W8" t="n">
        <v>1312752.79019427</v>
      </c>
      <c r="X8" t="n">
        <v>1324408.13128135</v>
      </c>
      <c r="Y8" t="n">
        <v>1338913.06811624</v>
      </c>
      <c r="Z8" t="n">
        <v>1159888.73282427</v>
      </c>
      <c r="AA8" t="n">
        <v>1103885.69272551</v>
      </c>
      <c r="AB8" t="n">
        <v>1209775.95589536</v>
      </c>
      <c r="AC8" t="n">
        <v>1300596.18764939</v>
      </c>
      <c r="AD8" t="n">
        <v>1265955.5649467</v>
      </c>
      <c r="AE8" t="n">
        <v>1097021</v>
      </c>
      <c r="AF8" t="n">
        <v>1050318</v>
      </c>
    </row>
    <row r="9">
      <c r="A9" t="s">
        <v>38</v>
      </c>
      <c r="B9" t="s">
        <v>175</v>
      </c>
      <c r="C9" t="s">
        <v>129</v>
      </c>
      <c r="D9" t="s">
        <v>176</v>
      </c>
      <c r="E9" t="s">
        <v>130</v>
      </c>
      <c r="F9" t="n">
        <v>618758.584884366</v>
      </c>
      <c r="G9" t="n">
        <v>570816.161532373</v>
      </c>
      <c r="H9" t="n">
        <v>597824.825418908</v>
      </c>
      <c r="I9" t="n">
        <v>549342.981828073</v>
      </c>
      <c r="J9" t="n">
        <v>541201.226822129</v>
      </c>
      <c r="K9" t="n">
        <v>699342.086472443</v>
      </c>
      <c r="L9" t="n">
        <v>664260.208314641</v>
      </c>
      <c r="M9" t="n">
        <v>699414.505616922</v>
      </c>
      <c r="N9" t="n">
        <v>710001.269280824</v>
      </c>
      <c r="O9" t="n">
        <v>777148.295886777</v>
      </c>
      <c r="P9" t="n">
        <v>900204.6361296</v>
      </c>
      <c r="Q9" t="n">
        <v>950817.225915222</v>
      </c>
      <c r="R9" t="n">
        <v>957414.889835025</v>
      </c>
      <c r="S9" t="n">
        <v>939070.416664693</v>
      </c>
      <c r="T9" t="n">
        <v>824253.181614159</v>
      </c>
      <c r="U9" t="n">
        <v>938839.871622512</v>
      </c>
      <c r="V9" t="n">
        <v>1023990.37339072</v>
      </c>
      <c r="W9" t="n">
        <v>1064926.38543039</v>
      </c>
      <c r="X9" t="n">
        <v>1174131.11821083</v>
      </c>
      <c r="Y9" t="n">
        <v>1260013.00937847</v>
      </c>
      <c r="Z9" t="n">
        <v>1257859.5250488</v>
      </c>
      <c r="AA9" t="n">
        <v>1249571.61806488</v>
      </c>
      <c r="AB9" t="n">
        <v>1175224.9205398</v>
      </c>
      <c r="AC9" t="n">
        <v>1213719.6831957</v>
      </c>
      <c r="AD9" t="n">
        <v>1187183.45799195</v>
      </c>
      <c r="AE9" t="n">
        <v>1187222</v>
      </c>
      <c r="AF9" t="n">
        <v>1431963</v>
      </c>
    </row>
    <row r="10">
      <c r="A10" t="s">
        <v>38</v>
      </c>
      <c r="B10" t="s">
        <v>177</v>
      </c>
      <c r="C10" t="s">
        <v>129</v>
      </c>
      <c r="D10" t="s">
        <v>178</v>
      </c>
      <c r="E10" t="s">
        <v>130</v>
      </c>
      <c r="F10" t="n">
        <v>845719.263255491</v>
      </c>
      <c r="G10" t="n">
        <v>788417.082836192</v>
      </c>
      <c r="H10" t="n">
        <v>836354.324854866</v>
      </c>
      <c r="I10" t="n">
        <v>782523.742515186</v>
      </c>
      <c r="J10" t="n">
        <v>753052.945572362</v>
      </c>
      <c r="K10" t="n">
        <v>915807.821181847</v>
      </c>
      <c r="L10" t="n">
        <v>902427.385337755</v>
      </c>
      <c r="M10" t="n">
        <v>963057.666952575</v>
      </c>
      <c r="N10" t="n">
        <v>998934.027697774</v>
      </c>
      <c r="O10" t="n">
        <v>1097261.13661155</v>
      </c>
      <c r="P10" t="n">
        <v>1229607.65947736</v>
      </c>
      <c r="Q10" t="n">
        <v>1303175.5892056</v>
      </c>
      <c r="R10" t="n">
        <v>1287865.73328745</v>
      </c>
      <c r="S10" t="n">
        <v>1299475.11167864</v>
      </c>
      <c r="T10" t="n">
        <v>1231617.17407853</v>
      </c>
      <c r="U10" t="n">
        <v>1332481.84190415</v>
      </c>
      <c r="V10" t="n">
        <v>1482947.05684533</v>
      </c>
      <c r="W10" t="n">
        <v>1529574.56833429</v>
      </c>
      <c r="X10" t="n">
        <v>1653399.50087236</v>
      </c>
      <c r="Y10" t="n">
        <v>1754510.31357399</v>
      </c>
      <c r="Z10" t="n">
        <v>1790028.99759111</v>
      </c>
      <c r="AA10" t="n">
        <v>1802235.3975663</v>
      </c>
      <c r="AB10" t="n">
        <v>1730206.90264027</v>
      </c>
      <c r="AC10" t="n">
        <v>1779035.67173705</v>
      </c>
      <c r="AD10" t="n">
        <v>1775343.50598669</v>
      </c>
      <c r="AE10" t="n">
        <v>1808843</v>
      </c>
      <c r="AF10" t="n">
        <v>2094814</v>
      </c>
    </row>
    <row r="11">
      <c r="A11" t="s">
        <v>38</v>
      </c>
      <c r="B11" t="s">
        <v>179</v>
      </c>
      <c r="C11" t="s">
        <v>129</v>
      </c>
      <c r="D11" t="s">
        <v>180</v>
      </c>
      <c r="E11" t="s">
        <v>130</v>
      </c>
      <c r="F11" t="n">
        <v>227501.478678466</v>
      </c>
      <c r="G11" t="n">
        <v>217868.427502053</v>
      </c>
      <c r="H11" t="n">
        <v>238540.66484459</v>
      </c>
      <c r="I11" t="n">
        <v>232848.580762189</v>
      </c>
      <c r="J11" t="n">
        <v>211977.761497722</v>
      </c>
      <c r="K11" t="n">
        <v>218012.7223048</v>
      </c>
      <c r="L11" t="n">
        <v>238867.078793582</v>
      </c>
      <c r="M11" t="n">
        <v>264075.388999059</v>
      </c>
      <c r="N11" t="n">
        <v>288871.501193427</v>
      </c>
      <c r="O11" t="n">
        <v>319948.014759756</v>
      </c>
      <c r="P11" t="n">
        <v>330533.271218682</v>
      </c>
      <c r="Q11" t="n">
        <v>353409.061426076</v>
      </c>
      <c r="R11" t="n">
        <v>332741.25263116</v>
      </c>
      <c r="S11" t="n">
        <v>360694.768894934</v>
      </c>
      <c r="T11" t="n">
        <v>403062.208724828</v>
      </c>
      <c r="U11" t="n">
        <v>394917.000125045</v>
      </c>
      <c r="V11" t="n">
        <v>459452.935433502</v>
      </c>
      <c r="W11" t="n">
        <v>464840.847226323</v>
      </c>
      <c r="X11" t="n">
        <v>478020.785569972</v>
      </c>
      <c r="Y11" t="n">
        <v>492374.063710198</v>
      </c>
      <c r="Z11" t="n">
        <v>531483.792763787</v>
      </c>
      <c r="AA11" t="n">
        <v>551778.018162995</v>
      </c>
      <c r="AB11" t="n">
        <v>553146.62225635</v>
      </c>
      <c r="AC11" t="n">
        <v>563447.967863772</v>
      </c>
      <c r="AD11" t="n">
        <v>587382.589497742</v>
      </c>
      <c r="AE11" t="n">
        <v>621621</v>
      </c>
      <c r="AF11" t="n">
        <v>662851</v>
      </c>
    </row>
    <row r="12">
      <c r="A12" t="s">
        <v>38</v>
      </c>
      <c r="B12" t="s">
        <v>181</v>
      </c>
      <c r="C12" t="s">
        <v>129</v>
      </c>
      <c r="D12" t="s">
        <v>182</v>
      </c>
      <c r="E12" t="s">
        <v>130</v>
      </c>
      <c r="F12" t="n">
        <v>499508.38253365</v>
      </c>
      <c r="G12" t="n">
        <v>515750.303306488</v>
      </c>
      <c r="H12" t="n">
        <v>545654.940918537</v>
      </c>
      <c r="I12" t="n">
        <v>616903.953219897</v>
      </c>
      <c r="J12" t="n">
        <v>627099.00943586</v>
      </c>
      <c r="K12" t="n">
        <v>739029.654562453</v>
      </c>
      <c r="L12" t="n">
        <v>843851.872342268</v>
      </c>
      <c r="M12" t="n">
        <v>934653.093320706</v>
      </c>
      <c r="N12" t="n">
        <v>966759.304804987</v>
      </c>
      <c r="O12" t="n">
        <v>1070830.29140994</v>
      </c>
      <c r="P12" t="n">
        <v>1162370.52963198</v>
      </c>
      <c r="Q12" t="n">
        <v>1246256.58329028</v>
      </c>
      <c r="R12" t="n">
        <v>1304220.73180356</v>
      </c>
      <c r="S12" t="n">
        <v>1447164.79589109</v>
      </c>
      <c r="T12" t="n">
        <v>1185063.67133677</v>
      </c>
      <c r="U12" t="n">
        <v>1204246.59793456</v>
      </c>
      <c r="V12" t="n">
        <v>1344643.41818946</v>
      </c>
      <c r="W12" t="n">
        <v>1315604.90313381</v>
      </c>
      <c r="X12" t="n">
        <v>1353985.65658996</v>
      </c>
      <c r="Y12" t="n">
        <v>1485336.73597166</v>
      </c>
      <c r="Z12" t="n">
        <v>1677889.2005804</v>
      </c>
      <c r="AA12" t="n">
        <v>1742468.92633723</v>
      </c>
      <c r="AB12" t="n">
        <v>1819738.49735495</v>
      </c>
      <c r="AC12" t="n">
        <v>2037049.74892931</v>
      </c>
      <c r="AD12" t="n">
        <v>2062262.86631416</v>
      </c>
      <c r="AE12" t="n">
        <v>1985623</v>
      </c>
      <c r="AF12" t="n">
        <v>2291385</v>
      </c>
    </row>
    <row r="13">
      <c r="A13" t="s">
        <v>38</v>
      </c>
      <c r="B13" t="s">
        <v>183</v>
      </c>
      <c r="C13" t="s">
        <v>129</v>
      </c>
      <c r="D13" t="s">
        <v>184</v>
      </c>
      <c r="E13" t="s">
        <v>130</v>
      </c>
      <c r="F13" t="n">
        <v>894845.72329842</v>
      </c>
      <c r="G13" t="n">
        <v>886316.759770588</v>
      </c>
      <c r="H13" t="n">
        <v>1023932.69758143</v>
      </c>
      <c r="I13" t="n">
        <v>1001084.63189975</v>
      </c>
      <c r="J13" t="n">
        <v>1018031.71205681</v>
      </c>
      <c r="K13" t="n">
        <v>1225511.26107581</v>
      </c>
      <c r="L13" t="n">
        <v>1312140.28202669</v>
      </c>
      <c r="M13" t="n">
        <v>1406857.33116127</v>
      </c>
      <c r="N13" t="n">
        <v>1453935.8733783</v>
      </c>
      <c r="O13" t="n">
        <v>1570329.67771219</v>
      </c>
      <c r="P13" t="n">
        <v>1640287.20402003</v>
      </c>
      <c r="Q13" t="n">
        <v>1824666.37992856</v>
      </c>
      <c r="R13" t="n">
        <v>1785399.01411633</v>
      </c>
      <c r="S13" t="n">
        <v>1806602.19040355</v>
      </c>
      <c r="T13" t="n">
        <v>1291605.96652256</v>
      </c>
      <c r="U13" t="n">
        <v>1344477.96868901</v>
      </c>
      <c r="V13" t="n">
        <v>1621092.62152429</v>
      </c>
      <c r="W13" t="n">
        <v>1476879.68381959</v>
      </c>
      <c r="X13" t="n">
        <v>1534262.86136438</v>
      </c>
      <c r="Y13" t="n">
        <v>1619745.4630226</v>
      </c>
      <c r="Z13" t="n">
        <v>1711158.14243019</v>
      </c>
      <c r="AA13" t="n">
        <v>1762598.55572361</v>
      </c>
      <c r="AB13" t="n">
        <v>1978306.93189543</v>
      </c>
      <c r="AC13" t="n">
        <v>2092308.87591846</v>
      </c>
      <c r="AD13" t="n">
        <v>2050887.07389932</v>
      </c>
      <c r="AE13" t="n">
        <v>1880546</v>
      </c>
      <c r="AF13" t="n">
        <v>2188984</v>
      </c>
    </row>
    <row r="14">
      <c r="A14" t="s">
        <v>38</v>
      </c>
      <c r="B14" t="s">
        <v>185</v>
      </c>
      <c r="C14" t="s">
        <v>129</v>
      </c>
      <c r="D14" t="s">
        <v>186</v>
      </c>
      <c r="E14" t="s">
        <v>130</v>
      </c>
      <c r="F14" t="n">
        <v>77104.5613651775</v>
      </c>
      <c r="G14" t="n">
        <v>158079.724291829</v>
      </c>
      <c r="H14" t="n">
        <v>370063.394333479</v>
      </c>
      <c r="I14" t="n">
        <v>588625.9925074</v>
      </c>
      <c r="J14" t="n">
        <v>872322.49072795</v>
      </c>
      <c r="K14" t="n">
        <v>928918.420056514</v>
      </c>
      <c r="L14" t="n">
        <v>1009815.27312335</v>
      </c>
      <c r="M14" t="n">
        <v>1123923.28247486</v>
      </c>
      <c r="N14" t="n">
        <v>1816360.54243752</v>
      </c>
      <c r="O14" t="n">
        <v>2481712.31167628</v>
      </c>
      <c r="P14" t="n">
        <v>2806305.72379437</v>
      </c>
      <c r="Q14" t="n">
        <v>3261920.95804217</v>
      </c>
      <c r="R14" t="n">
        <v>3358548.85593148</v>
      </c>
      <c r="S14" t="n">
        <v>3603933.03368745</v>
      </c>
      <c r="T14" t="n">
        <v>3141000.3539812</v>
      </c>
      <c r="U14" t="n">
        <v>4148568.86079805</v>
      </c>
      <c r="V14" t="n">
        <v>3727796.95183381</v>
      </c>
      <c r="W14" t="n">
        <v>2840602.17579169</v>
      </c>
      <c r="X14" t="n">
        <v>2439969.62900166</v>
      </c>
      <c r="Y14" t="n">
        <v>2430163.6199047</v>
      </c>
      <c r="Z14" t="n">
        <v>2498751.82508333</v>
      </c>
      <c r="AA14" t="n">
        <v>2724859.85649349</v>
      </c>
      <c r="AB14" t="n">
        <v>2833015.2750604</v>
      </c>
      <c r="AC14" t="n">
        <v>3262509.71154255</v>
      </c>
      <c r="AD14" t="n">
        <v>3534201.0153926</v>
      </c>
      <c r="AE14" t="n">
        <v>3655736</v>
      </c>
      <c r="AF14" t="n">
        <v>3836503</v>
      </c>
    </row>
    <row r="15">
      <c r="A15" t="s">
        <v>38</v>
      </c>
      <c r="B15" t="s">
        <v>187</v>
      </c>
      <c r="C15" t="s">
        <v>129</v>
      </c>
      <c r="D15" t="s">
        <v>188</v>
      </c>
      <c r="E15" t="s">
        <v>130</v>
      </c>
      <c r="F15" t="n">
        <v>228399.145592695</v>
      </c>
      <c r="G15" t="n">
        <v>336628.343058244</v>
      </c>
      <c r="H15" t="n">
        <v>600865.705733472</v>
      </c>
      <c r="I15" t="n">
        <v>880935.148812432</v>
      </c>
      <c r="J15" t="n">
        <v>1253874.65247951</v>
      </c>
      <c r="K15" t="n">
        <v>1599909.68277657</v>
      </c>
      <c r="L15" t="n">
        <v>1756124.59399297</v>
      </c>
      <c r="M15" t="n">
        <v>1959093.25245499</v>
      </c>
      <c r="N15" t="n">
        <v>2604901.61407973</v>
      </c>
      <c r="O15" t="n">
        <v>3329861.70752847</v>
      </c>
      <c r="P15" t="n">
        <v>3768792.82017203</v>
      </c>
      <c r="Q15" t="n">
        <v>4340648.89869434</v>
      </c>
      <c r="R15" t="n">
        <v>4410111.61808153</v>
      </c>
      <c r="S15" t="n">
        <v>4772621.32568215</v>
      </c>
      <c r="T15" t="n">
        <v>3886014.01887866</v>
      </c>
      <c r="U15" t="n">
        <v>5072590.13377373</v>
      </c>
      <c r="V15" t="n">
        <v>4574324.32066255</v>
      </c>
      <c r="W15" t="n">
        <v>3637741.54496209</v>
      </c>
      <c r="X15" t="n">
        <v>3275007.22145588</v>
      </c>
      <c r="Y15" t="n">
        <v>3335581.87963584</v>
      </c>
      <c r="Z15" t="n">
        <v>3475458.25519977</v>
      </c>
      <c r="AA15" t="n">
        <v>3767539.42442889</v>
      </c>
      <c r="AB15" t="n">
        <v>3916648.0479592</v>
      </c>
      <c r="AC15" t="n">
        <v>4424531.9296491</v>
      </c>
      <c r="AD15" t="n">
        <v>4950862.19864568</v>
      </c>
      <c r="AE15" t="n">
        <v>5244642</v>
      </c>
      <c r="AF15" t="n">
        <v>6194350</v>
      </c>
    </row>
    <row r="16">
      <c r="A16" t="s">
        <v>38</v>
      </c>
      <c r="B16" t="s">
        <v>189</v>
      </c>
      <c r="C16" t="s">
        <v>129</v>
      </c>
      <c r="D16" t="s">
        <v>190</v>
      </c>
      <c r="E16" t="s">
        <v>130</v>
      </c>
      <c r="F16" t="n">
        <v>263150.004963835</v>
      </c>
      <c r="G16" t="n">
        <v>278153.527923218</v>
      </c>
      <c r="H16" t="n">
        <v>289331.665444011</v>
      </c>
      <c r="I16" t="n">
        <v>320817.832756236</v>
      </c>
      <c r="J16" t="n">
        <v>389007.159472841</v>
      </c>
      <c r="K16" t="n">
        <v>854245.423838757</v>
      </c>
      <c r="L16" t="n">
        <v>955715.138822781</v>
      </c>
      <c r="M16" t="n">
        <v>1070876.68085945</v>
      </c>
      <c r="N16" t="n">
        <v>854888.064178882</v>
      </c>
      <c r="O16" t="n">
        <v>857502.332950985</v>
      </c>
      <c r="P16" t="n">
        <v>974057.458037235</v>
      </c>
      <c r="Q16" t="n">
        <v>1080187.22575033</v>
      </c>
      <c r="R16" t="n">
        <v>1041079.39386326</v>
      </c>
      <c r="S16" t="n">
        <v>1164375.23937397</v>
      </c>
      <c r="T16" t="n">
        <v>705877.069653301</v>
      </c>
      <c r="U16" t="n">
        <v>863373.937253232</v>
      </c>
      <c r="V16" t="n">
        <v>793893.033367575</v>
      </c>
      <c r="W16" t="n">
        <v>772676.471121295</v>
      </c>
      <c r="X16" t="n">
        <v>827717.042546145</v>
      </c>
      <c r="Y16" t="n">
        <v>904249.137607095</v>
      </c>
      <c r="Z16" t="n">
        <v>979239.992844514</v>
      </c>
      <c r="AA16" t="n">
        <v>1043283.14078854</v>
      </c>
      <c r="AB16" t="n">
        <v>1084225.2442843</v>
      </c>
      <c r="AC16" t="n">
        <v>1159127.3081924</v>
      </c>
      <c r="AD16" t="n">
        <v>1415065.24713303</v>
      </c>
      <c r="AE16" t="n">
        <v>1588906</v>
      </c>
      <c r="AF16" t="n">
        <v>2357847</v>
      </c>
    </row>
    <row r="17">
      <c r="A17" t="s">
        <v>38</v>
      </c>
      <c r="B17" t="s">
        <v>191</v>
      </c>
      <c r="C17" t="s">
        <v>129</v>
      </c>
      <c r="D17" t="s">
        <v>192</v>
      </c>
      <c r="E17" t="s">
        <v>130</v>
      </c>
      <c r="F17" t="n">
        <v>254214.099324199</v>
      </c>
      <c r="G17" t="n">
        <v>255814.676049671</v>
      </c>
      <c r="H17" t="n">
        <v>264706.560427396</v>
      </c>
      <c r="I17" t="n">
        <v>274089.979394111</v>
      </c>
      <c r="J17" t="n">
        <v>285354.310785073</v>
      </c>
      <c r="K17" t="n">
        <v>335551.835127113</v>
      </c>
      <c r="L17" t="n">
        <v>387735.975434035</v>
      </c>
      <c r="M17" t="n">
        <v>483764.138105168</v>
      </c>
      <c r="N17" t="n">
        <v>535935.590017464</v>
      </c>
      <c r="O17" t="n">
        <v>591604.399131752</v>
      </c>
      <c r="P17" t="n">
        <v>648458.80562791</v>
      </c>
      <c r="Q17" t="n">
        <v>662584.257988687</v>
      </c>
      <c r="R17" t="n">
        <v>680368.395904023</v>
      </c>
      <c r="S17" t="n">
        <v>757371.805870154</v>
      </c>
      <c r="T17" t="n">
        <v>867060.859190394</v>
      </c>
      <c r="U17" t="n">
        <v>909454.743333693</v>
      </c>
      <c r="V17" t="n">
        <v>1375391.82031419</v>
      </c>
      <c r="W17" t="n">
        <v>1430230.40835122</v>
      </c>
      <c r="X17" t="n">
        <v>1495754.20243633</v>
      </c>
      <c r="Y17" t="n">
        <v>1579609.27964541</v>
      </c>
      <c r="Z17" t="n">
        <v>1492738.2575606</v>
      </c>
      <c r="AA17" t="n">
        <v>1501789.35269515</v>
      </c>
      <c r="AB17" t="n">
        <v>1588121.98502454</v>
      </c>
      <c r="AC17" t="n">
        <v>1452238.7561772</v>
      </c>
      <c r="AD17" t="n">
        <v>1451328.51321567</v>
      </c>
      <c r="AE17" t="n">
        <v>1411250</v>
      </c>
      <c r="AF17" t="n">
        <v>1616786</v>
      </c>
    </row>
    <row r="18">
      <c r="A18" t="s">
        <v>38</v>
      </c>
      <c r="B18" t="s">
        <v>193</v>
      </c>
      <c r="C18" t="s">
        <v>129</v>
      </c>
      <c r="D18" t="s">
        <v>194</v>
      </c>
      <c r="E18" t="s">
        <v>130</v>
      </c>
      <c r="F18" t="n">
        <v>616591.83979851</v>
      </c>
      <c r="G18" t="n">
        <v>755729.769191672</v>
      </c>
      <c r="H18" t="n">
        <v>1107002.71932258</v>
      </c>
      <c r="I18" t="n">
        <v>1542682.65242681</v>
      </c>
      <c r="J18" t="n">
        <v>1823787.0566455</v>
      </c>
      <c r="K18" t="n">
        <v>2098499.25285256</v>
      </c>
      <c r="L18" t="n">
        <v>2220045.55877915</v>
      </c>
      <c r="M18" t="n">
        <v>2312096.49921756</v>
      </c>
      <c r="N18" t="n">
        <v>2553580.55895809</v>
      </c>
      <c r="O18" t="n">
        <v>2683171.24682722</v>
      </c>
      <c r="P18" t="n">
        <v>3180001.44222654</v>
      </c>
      <c r="Q18" t="n">
        <v>3741817.23886568</v>
      </c>
      <c r="R18" t="n">
        <v>4222913.33439701</v>
      </c>
      <c r="S18" t="n">
        <v>4425470.25023275</v>
      </c>
      <c r="T18" t="n">
        <v>3039022.93503847</v>
      </c>
      <c r="U18" t="n">
        <v>3694408.45290571</v>
      </c>
      <c r="V18" t="n">
        <v>4183522.2874465</v>
      </c>
      <c r="W18" t="n">
        <v>4383834.86688372</v>
      </c>
      <c r="X18" t="n">
        <v>5237636.15731514</v>
      </c>
      <c r="Y18" t="n">
        <v>6418679.30840649</v>
      </c>
      <c r="Z18" t="n">
        <v>7411486.70083084</v>
      </c>
      <c r="AA18" t="n">
        <v>7426098.24316117</v>
      </c>
      <c r="AB18" t="n">
        <v>7508617.11432501</v>
      </c>
      <c r="AC18" t="n">
        <v>7710035.70671277</v>
      </c>
      <c r="AD18" t="n">
        <v>8717037.39487533</v>
      </c>
      <c r="AE18" t="n">
        <v>7981312</v>
      </c>
      <c r="AF18" t="n">
        <v>7837814</v>
      </c>
    </row>
    <row r="19">
      <c r="A19" t="s">
        <v>38</v>
      </c>
      <c r="B19" t="s">
        <v>195</v>
      </c>
      <c r="C19" t="s">
        <v>129</v>
      </c>
      <c r="D19" t="s">
        <v>196</v>
      </c>
      <c r="E19" t="s">
        <v>130</v>
      </c>
      <c r="F19" t="n">
        <v>210406.681143875</v>
      </c>
      <c r="G19" t="n">
        <v>213000.366705131</v>
      </c>
      <c r="H19" t="n">
        <v>235581.332052049</v>
      </c>
      <c r="I19" t="n">
        <v>252454.084028789</v>
      </c>
      <c r="J19" t="n">
        <v>281382.444079001</v>
      </c>
      <c r="K19" t="n">
        <v>333318.772109216</v>
      </c>
      <c r="L19" t="n">
        <v>393588.72455324</v>
      </c>
      <c r="M19" t="n">
        <v>476553.115722263</v>
      </c>
      <c r="N19" t="n">
        <v>488646.438927696</v>
      </c>
      <c r="O19" t="n">
        <v>501693.64114674</v>
      </c>
      <c r="P19" t="n">
        <v>489718.899854152</v>
      </c>
      <c r="Q19" t="n">
        <v>509622.002071864</v>
      </c>
      <c r="R19" t="n">
        <v>548327.041096732</v>
      </c>
      <c r="S19" t="n">
        <v>493881.484104642</v>
      </c>
      <c r="T19" t="n">
        <v>450615.554337698</v>
      </c>
      <c r="U19" t="n">
        <v>490062.980910352</v>
      </c>
      <c r="V19" t="n">
        <v>488157.033233274</v>
      </c>
      <c r="W19" t="n">
        <v>480751.347261156</v>
      </c>
      <c r="X19" t="n">
        <v>528236.680266861</v>
      </c>
      <c r="Y19" t="n">
        <v>567562.653368111</v>
      </c>
      <c r="Z19" t="n">
        <v>642796.553406638</v>
      </c>
      <c r="AA19" t="n">
        <v>678272.125013248</v>
      </c>
      <c r="AB19" t="n">
        <v>708693.215524214</v>
      </c>
      <c r="AC19" t="n">
        <v>644407.028644204</v>
      </c>
      <c r="AD19" t="n">
        <v>702563.249027814</v>
      </c>
      <c r="AE19" t="n">
        <v>725981</v>
      </c>
      <c r="AF19" t="n">
        <v>810702</v>
      </c>
    </row>
    <row r="20">
      <c r="A20" t="s">
        <v>38</v>
      </c>
      <c r="B20" t="s">
        <v>197</v>
      </c>
      <c r="C20" t="s">
        <v>129</v>
      </c>
      <c r="D20" t="s">
        <v>198</v>
      </c>
      <c r="E20" t="s">
        <v>130</v>
      </c>
      <c r="F20" t="n">
        <v>1220635.39247073</v>
      </c>
      <c r="G20" t="n">
        <v>1274056.21884732</v>
      </c>
      <c r="H20" t="n">
        <v>1273415.35340865</v>
      </c>
      <c r="I20" t="n">
        <v>1294539.10162794</v>
      </c>
      <c r="J20" t="n">
        <v>1181470.05849836</v>
      </c>
      <c r="K20" t="n">
        <v>762465.035474994</v>
      </c>
      <c r="L20" t="n">
        <v>768468.913696678</v>
      </c>
      <c r="M20" t="n">
        <v>943318.711445035</v>
      </c>
      <c r="N20" t="n">
        <v>1100471.1337538</v>
      </c>
      <c r="O20" t="n">
        <v>1180661.18129213</v>
      </c>
      <c r="P20" t="n">
        <v>1167493.97855257</v>
      </c>
      <c r="Q20" t="n">
        <v>1029591.95078246</v>
      </c>
      <c r="R20" t="n">
        <v>1152327.10080389</v>
      </c>
      <c r="S20" t="n">
        <v>1175981.59069305</v>
      </c>
      <c r="T20" t="n">
        <v>1076500.68233513</v>
      </c>
      <c r="U20" t="n">
        <v>995043.135760012</v>
      </c>
      <c r="V20" t="n">
        <v>960875.744215827</v>
      </c>
      <c r="W20" t="n">
        <v>907897.031338852</v>
      </c>
      <c r="X20" t="n">
        <v>861955.338053815</v>
      </c>
      <c r="Y20" t="n">
        <v>804216.983391464</v>
      </c>
      <c r="Z20" t="n">
        <v>837914.291994027</v>
      </c>
      <c r="AA20" t="n">
        <v>853729.218351355</v>
      </c>
      <c r="AB20" t="n">
        <v>874978.015758139</v>
      </c>
      <c r="AC20" t="n">
        <v>846826.419315529</v>
      </c>
      <c r="AD20" t="n">
        <v>884905.429018529</v>
      </c>
      <c r="AE20" t="n">
        <v>878631</v>
      </c>
      <c r="AF20" t="n">
        <v>1020615</v>
      </c>
    </row>
    <row r="21">
      <c r="A21" t="s">
        <v>38</v>
      </c>
      <c r="B21" t="s">
        <v>199</v>
      </c>
      <c r="C21" t="s">
        <v>129</v>
      </c>
      <c r="D21" t="s">
        <v>200</v>
      </c>
      <c r="E21" t="s">
        <v>130</v>
      </c>
      <c r="F21" t="n">
        <v>1413127.3921058</v>
      </c>
      <c r="G21" t="n">
        <v>1441002.28575238</v>
      </c>
      <c r="H21" t="n">
        <v>1449900.09018452</v>
      </c>
      <c r="I21" t="n">
        <v>1520061.99039049</v>
      </c>
      <c r="J21" t="n">
        <v>1442488.67657842</v>
      </c>
      <c r="K21" t="n">
        <v>1050898.40998723</v>
      </c>
      <c r="L21" t="n">
        <v>1078630.47005027</v>
      </c>
      <c r="M21" t="n">
        <v>1292634.13358148</v>
      </c>
      <c r="N21" t="n">
        <v>1435382.19535922</v>
      </c>
      <c r="O21" t="n">
        <v>1521209.97504928</v>
      </c>
      <c r="P21" t="n">
        <v>1526150.04484631</v>
      </c>
      <c r="Q21" t="n">
        <v>1402448.55139787</v>
      </c>
      <c r="R21" t="n">
        <v>1519521.00071006</v>
      </c>
      <c r="S21" t="n">
        <v>1545111.5245549</v>
      </c>
      <c r="T21" t="n">
        <v>1451856.17640579</v>
      </c>
      <c r="U21" t="n">
        <v>1365678.71654064</v>
      </c>
      <c r="V21" t="n">
        <v>1350896.34177832</v>
      </c>
      <c r="W21" t="n">
        <v>1284041.44749895</v>
      </c>
      <c r="X21" t="n">
        <v>1238784.6154539</v>
      </c>
      <c r="Y21" t="n">
        <v>1204569.03339496</v>
      </c>
      <c r="Z21" t="n">
        <v>1241934.02439272</v>
      </c>
      <c r="AA21" t="n">
        <v>1284534.42288928</v>
      </c>
      <c r="AB21" t="n">
        <v>1336335.59397951</v>
      </c>
      <c r="AC21" t="n">
        <v>1287870.46914299</v>
      </c>
      <c r="AD21" t="n">
        <v>1336704.7722523</v>
      </c>
      <c r="AE21" t="n">
        <v>1336833</v>
      </c>
      <c r="AF21" t="n">
        <v>1450535</v>
      </c>
    </row>
    <row r="22">
      <c r="A22" t="s">
        <v>38</v>
      </c>
      <c r="B22" t="s">
        <v>201</v>
      </c>
      <c r="C22" t="s">
        <v>129</v>
      </c>
      <c r="D22" t="s">
        <v>202</v>
      </c>
      <c r="E22" t="s">
        <v>130</v>
      </c>
      <c r="F22" t="n">
        <v>196158.784502523</v>
      </c>
      <c r="G22" t="n">
        <v>176543.680740413</v>
      </c>
      <c r="H22" t="n">
        <v>184694.46095868</v>
      </c>
      <c r="I22" t="n">
        <v>228536.661726789</v>
      </c>
      <c r="J22" t="n">
        <v>257479.005449777</v>
      </c>
      <c r="K22" t="n">
        <v>272101.392761767</v>
      </c>
      <c r="L22" t="n">
        <v>291618.166440039</v>
      </c>
      <c r="M22" t="n">
        <v>328740.19230639</v>
      </c>
      <c r="N22" t="n">
        <v>319009.504711384</v>
      </c>
      <c r="O22" t="n">
        <v>326721.834086739</v>
      </c>
      <c r="P22" t="n">
        <v>341682.581453593</v>
      </c>
      <c r="Q22" t="n">
        <v>350157.39490903</v>
      </c>
      <c r="R22" t="n">
        <v>341713.359335614</v>
      </c>
      <c r="S22" t="n">
        <v>343003.208762189</v>
      </c>
      <c r="T22" t="n">
        <v>356096.391226078</v>
      </c>
      <c r="U22" t="n">
        <v>354838.24221308</v>
      </c>
      <c r="V22" t="n">
        <v>378476.148521778</v>
      </c>
      <c r="W22" t="n">
        <v>366267.997973116</v>
      </c>
      <c r="X22" t="n">
        <v>370156.484365594</v>
      </c>
      <c r="Y22" t="n">
        <v>400217.863462278</v>
      </c>
      <c r="Z22" t="n">
        <v>402667.398426974</v>
      </c>
      <c r="AA22" t="n">
        <v>430584.611464649</v>
      </c>
      <c r="AB22" t="n">
        <v>461673.11877138</v>
      </c>
      <c r="AC22" t="n">
        <v>441159.101806723</v>
      </c>
      <c r="AD22" t="n">
        <v>451395.581132957</v>
      </c>
      <c r="AE22" t="n">
        <v>458202</v>
      </c>
      <c r="AF22" t="n">
        <v>429920</v>
      </c>
    </row>
    <row r="23">
      <c r="A23" t="s">
        <v>38</v>
      </c>
      <c r="B23" t="s">
        <v>203</v>
      </c>
      <c r="C23" t="s">
        <v>129</v>
      </c>
      <c r="D23" t="s">
        <v>204</v>
      </c>
      <c r="E23" t="s">
        <v>130</v>
      </c>
      <c r="F23" t="n">
        <v>1325779.04153976</v>
      </c>
      <c r="G23" t="n">
        <v>1438369.57999112</v>
      </c>
      <c r="H23" t="n">
        <v>1519029.06725393</v>
      </c>
      <c r="I23" t="n">
        <v>1451656.97134424</v>
      </c>
      <c r="J23" t="n">
        <v>1538021.04035162</v>
      </c>
      <c r="K23" t="n">
        <v>1651978.0263291</v>
      </c>
      <c r="L23" t="n">
        <v>2063991.6376761</v>
      </c>
      <c r="M23" t="n">
        <v>2455395.81089814</v>
      </c>
      <c r="N23" t="n">
        <v>2453210.23632407</v>
      </c>
      <c r="O23" t="n">
        <v>2697707.98000155</v>
      </c>
      <c r="P23" t="n">
        <v>2922977.19126295</v>
      </c>
      <c r="Q23" t="n">
        <v>2904983.95883711</v>
      </c>
      <c r="R23" t="n">
        <v>2548761.04506709</v>
      </c>
      <c r="S23" t="n">
        <v>2681863.77057642</v>
      </c>
      <c r="T23" t="n">
        <v>2491804.90837094</v>
      </c>
      <c r="U23" t="n">
        <v>2091118.46483219</v>
      </c>
      <c r="V23" t="n">
        <v>1866678.73897083</v>
      </c>
      <c r="W23" t="n">
        <v>1727083.35800647</v>
      </c>
      <c r="X23" t="n">
        <v>2032076.18337989</v>
      </c>
      <c r="Y23" t="n">
        <v>2383071.52030236</v>
      </c>
      <c r="Z23" t="n">
        <v>2448086.17540884</v>
      </c>
      <c r="AA23" t="n">
        <v>2194521.82332776</v>
      </c>
      <c r="AB23" t="n">
        <v>2725701.07580536</v>
      </c>
      <c r="AC23" t="n">
        <v>3439427.51411984</v>
      </c>
      <c r="AD23" t="n">
        <v>3980493.10196408</v>
      </c>
      <c r="AE23" t="n">
        <v>4136116</v>
      </c>
      <c r="AF23" t="n">
        <v>4472127</v>
      </c>
    </row>
    <row r="24">
      <c r="A24" t="s">
        <v>38</v>
      </c>
      <c r="B24" t="s">
        <v>205</v>
      </c>
      <c r="C24" t="s">
        <v>129</v>
      </c>
      <c r="D24" t="s">
        <v>206</v>
      </c>
      <c r="E24" t="s">
        <v>130</v>
      </c>
      <c r="F24" t="n">
        <v>2041430.77141749</v>
      </c>
      <c r="G24" t="n">
        <v>2047616.75449222</v>
      </c>
      <c r="H24" t="n">
        <v>2133086.94700538</v>
      </c>
      <c r="I24" t="n">
        <v>2514550.8579985</v>
      </c>
      <c r="J24" t="n">
        <v>2533320.59811092</v>
      </c>
      <c r="K24" t="n">
        <v>2624091.26920958</v>
      </c>
      <c r="L24" t="n">
        <v>3127237.92167797</v>
      </c>
      <c r="M24" t="n">
        <v>3552962.96808285</v>
      </c>
      <c r="N24" t="n">
        <v>3479320.20047893</v>
      </c>
      <c r="O24" t="n">
        <v>3497755.17116687</v>
      </c>
      <c r="P24" t="n">
        <v>3738741.33367492</v>
      </c>
      <c r="Q24" t="n">
        <v>3721280.27709017</v>
      </c>
      <c r="R24" t="n">
        <v>3560725.21140623</v>
      </c>
      <c r="S24" t="n">
        <v>3800335.60103728</v>
      </c>
      <c r="T24" t="n">
        <v>3438482.53879045</v>
      </c>
      <c r="U24" t="n">
        <v>3219347.32541948</v>
      </c>
      <c r="V24" t="n">
        <v>3196338.11675297</v>
      </c>
      <c r="W24" t="n">
        <v>2959474.94098114</v>
      </c>
      <c r="X24" t="n">
        <v>3168217.69191904</v>
      </c>
      <c r="Y24" t="n">
        <v>3369445.69967083</v>
      </c>
      <c r="Z24" t="n">
        <v>3484795.12835031</v>
      </c>
      <c r="AA24" t="n">
        <v>3681682.90866618</v>
      </c>
      <c r="AB24" t="n">
        <v>3817681.03238342</v>
      </c>
      <c r="AC24" t="n">
        <v>4074707.96948599</v>
      </c>
      <c r="AD24" t="n">
        <v>4334070.87677238</v>
      </c>
      <c r="AE24" t="n">
        <v>4332456</v>
      </c>
      <c r="AF24" t="n">
        <v>4638045</v>
      </c>
    </row>
    <row r="25">
      <c r="A25" t="s">
        <v>38</v>
      </c>
      <c r="B25" t="s">
        <v>207</v>
      </c>
      <c r="C25" t="s">
        <v>129</v>
      </c>
      <c r="D25" t="s">
        <v>208</v>
      </c>
      <c r="E25" t="s">
        <v>130</v>
      </c>
      <c r="F25" t="n">
        <v>167041.320839695</v>
      </c>
      <c r="G25" t="n">
        <v>165258.286943313</v>
      </c>
      <c r="H25" t="n">
        <v>166981.546902287</v>
      </c>
      <c r="I25" t="n">
        <v>242074.599659965</v>
      </c>
      <c r="J25" t="n">
        <v>240189.870055624</v>
      </c>
      <c r="K25" t="n">
        <v>268519.648740118</v>
      </c>
      <c r="L25" t="n">
        <v>325973.573561836</v>
      </c>
      <c r="M25" t="n">
        <v>384361.269897614</v>
      </c>
      <c r="N25" t="n">
        <v>385126.578218974</v>
      </c>
      <c r="O25" t="n">
        <v>417401.350997629</v>
      </c>
      <c r="P25" t="n">
        <v>446893.622428992</v>
      </c>
      <c r="Q25" t="n">
        <v>442367.660932341</v>
      </c>
      <c r="R25" t="n">
        <v>436394.078603459</v>
      </c>
      <c r="S25" t="n">
        <v>473411.129371875</v>
      </c>
      <c r="T25" t="n">
        <v>452251.523804861</v>
      </c>
      <c r="U25" t="n">
        <v>380242.138328434</v>
      </c>
      <c r="V25" t="n">
        <v>369894.517786862</v>
      </c>
      <c r="W25" t="n">
        <v>344799.288913609</v>
      </c>
      <c r="X25" t="n">
        <v>380142.625930847</v>
      </c>
      <c r="Y25" t="n">
        <v>379117.699241753</v>
      </c>
      <c r="Z25" t="n">
        <v>404988.927512603</v>
      </c>
      <c r="AA25" t="n">
        <v>423107.403210539</v>
      </c>
      <c r="AB25" t="n">
        <v>458805.969847295</v>
      </c>
      <c r="AC25" t="n">
        <v>502529.712814069</v>
      </c>
      <c r="AD25" t="n">
        <v>546715.323337301</v>
      </c>
      <c r="AE25" t="n">
        <v>515654</v>
      </c>
      <c r="AF25" t="n">
        <v>551993</v>
      </c>
    </row>
    <row r="26">
      <c r="A26" t="s">
        <v>38</v>
      </c>
      <c r="B26" t="s">
        <v>209</v>
      </c>
      <c r="C26" t="s">
        <v>129</v>
      </c>
      <c r="D26" t="s">
        <v>210</v>
      </c>
      <c r="E26" t="s">
        <v>130</v>
      </c>
      <c r="F26" t="n">
        <v>1287718.48597216</v>
      </c>
      <c r="G26" t="n">
        <v>1368340.72928854</v>
      </c>
      <c r="H26" t="n">
        <v>1420723.265637</v>
      </c>
      <c r="I26" t="n">
        <v>1518037.41622472</v>
      </c>
      <c r="J26" t="n">
        <v>1615587.03361855</v>
      </c>
      <c r="K26" t="n">
        <v>1644724.68031799</v>
      </c>
      <c r="L26" t="n">
        <v>1958290.88495536</v>
      </c>
      <c r="M26" t="n">
        <v>2198058.73249697</v>
      </c>
      <c r="N26" t="n">
        <v>2101875.89304928</v>
      </c>
      <c r="O26" t="n">
        <v>1982479.9338032</v>
      </c>
      <c r="P26" t="n">
        <v>2174296.54670925</v>
      </c>
      <c r="Q26" t="n">
        <v>2176596.13453786</v>
      </c>
      <c r="R26" t="n">
        <v>2050293.42329038</v>
      </c>
      <c r="S26" t="n">
        <v>2141173.26580025</v>
      </c>
      <c r="T26" t="n">
        <v>1796639.00157731</v>
      </c>
      <c r="U26" t="n">
        <v>1785538.6053366</v>
      </c>
      <c r="V26" t="n">
        <v>1784241.44817359</v>
      </c>
      <c r="W26" t="n">
        <v>1616100.95244395</v>
      </c>
      <c r="X26" t="n">
        <v>1736573.09370133</v>
      </c>
      <c r="Y26" t="n">
        <v>1854085.39341688</v>
      </c>
      <c r="Z26" t="n">
        <v>1904230.08796996</v>
      </c>
      <c r="AA26" t="n">
        <v>1946723.92205873</v>
      </c>
      <c r="AB26" t="n">
        <v>2005881.30938284</v>
      </c>
      <c r="AC26" t="n">
        <v>2169684.52142936</v>
      </c>
      <c r="AD26" t="n">
        <v>2290403.87094795</v>
      </c>
      <c r="AE26" t="n">
        <v>2289435</v>
      </c>
      <c r="AF26" t="n">
        <v>2518774</v>
      </c>
    </row>
    <row r="27">
      <c r="A27" t="s">
        <v>38</v>
      </c>
      <c r="B27" t="s">
        <v>211</v>
      </c>
      <c r="C27" t="s">
        <v>129</v>
      </c>
      <c r="D27" t="s">
        <v>212</v>
      </c>
      <c r="E27" t="s">
        <v>130</v>
      </c>
      <c r="F27" t="n">
        <v>630368.116427238</v>
      </c>
      <c r="G27" t="n">
        <v>573857.816745708</v>
      </c>
      <c r="H27" t="n">
        <v>607725.947196877</v>
      </c>
      <c r="I27" t="n">
        <v>785594.0744274</v>
      </c>
      <c r="J27" t="n">
        <v>726326.165303332</v>
      </c>
      <c r="K27" t="n">
        <v>751483.63492849</v>
      </c>
      <c r="L27" t="n">
        <v>889883.121680658</v>
      </c>
      <c r="M27" t="n">
        <v>1015985.64959965</v>
      </c>
      <c r="N27" t="n">
        <v>1024106.56956579</v>
      </c>
      <c r="O27" t="n">
        <v>1099298.09754525</v>
      </c>
      <c r="P27" t="n">
        <v>1126825.99548614</v>
      </c>
      <c r="Q27" t="n">
        <v>1113607.90811246</v>
      </c>
      <c r="R27" t="n">
        <v>1078978.17133953</v>
      </c>
      <c r="S27" t="n">
        <v>1185136.70715087</v>
      </c>
      <c r="T27" t="n">
        <v>1187528.7929742</v>
      </c>
      <c r="U27" t="n">
        <v>1054339.2221281</v>
      </c>
      <c r="V27" t="n">
        <v>1043379.2044561</v>
      </c>
      <c r="W27" t="n">
        <v>999680.388547736</v>
      </c>
      <c r="X27" t="n">
        <v>1052656.75641939</v>
      </c>
      <c r="Y27" t="n">
        <v>1137662.60895573</v>
      </c>
      <c r="Z27" t="n">
        <v>1176811.50699542</v>
      </c>
      <c r="AA27" t="n">
        <v>1313262.42811019</v>
      </c>
      <c r="AB27" t="n">
        <v>1353577.1450407</v>
      </c>
      <c r="AC27" t="n">
        <v>1402828.39755096</v>
      </c>
      <c r="AD27" t="n">
        <v>1497200.1831255</v>
      </c>
      <c r="AE27" t="n">
        <v>1527367</v>
      </c>
      <c r="AF27" t="n">
        <v>1567278</v>
      </c>
    </row>
    <row r="28">
      <c r="A28" t="s">
        <v>38</v>
      </c>
      <c r="B28" t="s">
        <v>213</v>
      </c>
      <c r="C28" t="s">
        <v>129</v>
      </c>
      <c r="D28" t="s">
        <v>214</v>
      </c>
      <c r="E28" t="s">
        <v>130</v>
      </c>
      <c r="F28" t="n">
        <v>982787.686476883</v>
      </c>
      <c r="G28" t="n">
        <v>955738.903478197</v>
      </c>
      <c r="H28" t="n">
        <v>1021654.88872805</v>
      </c>
      <c r="I28" t="n">
        <v>1035920.58685098</v>
      </c>
      <c r="J28" t="n">
        <v>1123450.84607222</v>
      </c>
      <c r="K28" t="n">
        <v>1203085.27585804</v>
      </c>
      <c r="L28" t="n">
        <v>1323942.6902875</v>
      </c>
      <c r="M28" t="n">
        <v>1459036.44749427</v>
      </c>
      <c r="N28" t="n">
        <v>1416031.90930326</v>
      </c>
      <c r="O28" t="n">
        <v>1552670.62746661</v>
      </c>
      <c r="P28" t="n">
        <v>1615956.32802935</v>
      </c>
      <c r="Q28" t="n">
        <v>1779913.52389137</v>
      </c>
      <c r="R28" t="n">
        <v>1841630.87353952</v>
      </c>
      <c r="S28" t="n">
        <v>2113480.12947157</v>
      </c>
      <c r="T28" t="n">
        <v>2033288.81828263</v>
      </c>
      <c r="U28" t="n">
        <v>1924215.21256578</v>
      </c>
      <c r="V28" t="n">
        <v>1958819.06882427</v>
      </c>
      <c r="W28" t="n">
        <v>1907324.88644582</v>
      </c>
      <c r="X28" t="n">
        <v>2018043.79107992</v>
      </c>
      <c r="Y28" t="n">
        <v>2175173.93780526</v>
      </c>
      <c r="Z28" t="n">
        <v>2249455.38678335</v>
      </c>
      <c r="AA28" t="n">
        <v>2308031.88346846</v>
      </c>
      <c r="AB28" t="n">
        <v>2432167.26178889</v>
      </c>
      <c r="AC28" t="n">
        <v>2738802.96792828</v>
      </c>
      <c r="AD28" t="n">
        <v>2819552.03472934</v>
      </c>
      <c r="AE28" t="n">
        <v>2650685</v>
      </c>
      <c r="AF28" t="n">
        <v>2830537</v>
      </c>
    </row>
    <row r="29">
      <c r="A29" t="s">
        <v>38</v>
      </c>
      <c r="B29" t="s">
        <v>215</v>
      </c>
      <c r="C29" t="s">
        <v>129</v>
      </c>
      <c r="D29" t="s">
        <v>216</v>
      </c>
      <c r="E29" t="s">
        <v>130</v>
      </c>
      <c r="F29" t="n">
        <v>692185.113599574</v>
      </c>
      <c r="G29" t="n">
        <v>640256.041150172</v>
      </c>
      <c r="H29" t="n">
        <v>718793.644199399</v>
      </c>
      <c r="I29" t="n">
        <v>733875.794815529</v>
      </c>
      <c r="J29" t="n">
        <v>765247.34814037</v>
      </c>
      <c r="K29" t="n">
        <v>815800.489556284</v>
      </c>
      <c r="L29" t="n">
        <v>888853.57899</v>
      </c>
      <c r="M29" t="n">
        <v>1033673.93121684</v>
      </c>
      <c r="N29" t="n">
        <v>985632.111423259</v>
      </c>
      <c r="O29" t="n">
        <v>1044014.36974293</v>
      </c>
      <c r="P29" t="n">
        <v>1038979.60361762</v>
      </c>
      <c r="Q29" t="n">
        <v>1230430.35079922</v>
      </c>
      <c r="R29" t="n">
        <v>1243872.26005225</v>
      </c>
      <c r="S29" t="n">
        <v>1302049.14914424</v>
      </c>
      <c r="T29" t="n">
        <v>1211084.8460533</v>
      </c>
      <c r="U29" t="n">
        <v>1115974.90989314</v>
      </c>
      <c r="V29" t="n">
        <v>1152313.54311553</v>
      </c>
      <c r="W29" t="n">
        <v>1165110.64698913</v>
      </c>
      <c r="X29" t="n">
        <v>1233470.23800844</v>
      </c>
      <c r="Y29" t="n">
        <v>1263025.75705526</v>
      </c>
      <c r="Z29" t="n">
        <v>1275722.29365042</v>
      </c>
      <c r="AA29" t="n">
        <v>1323501.27653174</v>
      </c>
      <c r="AB29" t="n">
        <v>1376975.27597424</v>
      </c>
      <c r="AC29" t="n">
        <v>1575812.75099019</v>
      </c>
      <c r="AD29" t="n">
        <v>1535740.84976787</v>
      </c>
      <c r="AE29" t="n">
        <v>1562013</v>
      </c>
      <c r="AF29" t="n">
        <v>1607014</v>
      </c>
    </row>
    <row r="30">
      <c r="A30" t="s">
        <v>38</v>
      </c>
      <c r="B30" t="s">
        <v>217</v>
      </c>
      <c r="C30" t="s">
        <v>129</v>
      </c>
      <c r="D30" t="s">
        <v>218</v>
      </c>
      <c r="E30" t="s">
        <v>130</v>
      </c>
      <c r="F30" t="n">
        <v>40071.9660726803</v>
      </c>
      <c r="G30" t="n">
        <v>68643.8212586856</v>
      </c>
      <c r="H30" t="n">
        <v>13672.9058076749</v>
      </c>
      <c r="I30" t="n">
        <v>12085.4650863288</v>
      </c>
      <c r="J30" t="n">
        <v>12678.7100685401</v>
      </c>
      <c r="K30" t="n">
        <v>13319.1410462966</v>
      </c>
      <c r="L30" t="n">
        <v>14676.45270028</v>
      </c>
      <c r="M30" t="n">
        <v>15649.4771886963</v>
      </c>
      <c r="N30" t="n">
        <v>15104.0874547729</v>
      </c>
      <c r="O30" t="n">
        <v>13931.5226750798</v>
      </c>
      <c r="P30" t="n">
        <v>14681.4096308775</v>
      </c>
      <c r="Q30" t="n">
        <v>14204.7515019028</v>
      </c>
      <c r="R30" t="n">
        <v>13431.0689468558</v>
      </c>
      <c r="S30" t="n">
        <v>16086.4497738302</v>
      </c>
      <c r="T30" t="n">
        <v>22690.728341425</v>
      </c>
      <c r="U30" t="n">
        <v>21243.2394690837</v>
      </c>
      <c r="V30" t="n">
        <v>17818.3065706954</v>
      </c>
      <c r="W30" t="n">
        <v>18141.1423138856</v>
      </c>
      <c r="X30" t="n">
        <v>18471.7802750799</v>
      </c>
      <c r="Y30" t="n">
        <v>19593.4448059408</v>
      </c>
      <c r="Z30" t="n">
        <v>19654.5771826489</v>
      </c>
      <c r="AA30" t="n">
        <v>17153.4288959277</v>
      </c>
      <c r="AB30" t="n">
        <v>18078.7262388742</v>
      </c>
      <c r="AC30" t="n">
        <v>19613.0527205807</v>
      </c>
      <c r="AD30" t="n">
        <v>26103.5050457337</v>
      </c>
      <c r="AE30" t="n">
        <v>22354</v>
      </c>
      <c r="AF30" t="n">
        <v>20378</v>
      </c>
    </row>
    <row r="31">
      <c r="A31" t="s">
        <v>38</v>
      </c>
      <c r="B31" t="s">
        <v>219</v>
      </c>
      <c r="C31" t="s">
        <v>129</v>
      </c>
      <c r="D31" t="s">
        <v>220</v>
      </c>
      <c r="E31" t="s">
        <v>130</v>
      </c>
      <c r="F31" t="n">
        <v>101714.793288392</v>
      </c>
      <c r="G31" t="n">
        <v>108219.574136497</v>
      </c>
      <c r="H31" t="n">
        <v>111141.681087462</v>
      </c>
      <c r="I31" t="n">
        <v>106755.564478555</v>
      </c>
      <c r="J31" t="n">
        <v>116317.135987072</v>
      </c>
      <c r="K31" t="n">
        <v>141465.529858214</v>
      </c>
      <c r="L31" t="n">
        <v>140528.527510882</v>
      </c>
      <c r="M31" t="n">
        <v>134144.324991025</v>
      </c>
      <c r="N31" t="n">
        <v>139478.530359462</v>
      </c>
      <c r="O31" t="n">
        <v>168359.627679431</v>
      </c>
      <c r="P31" t="n">
        <v>189469.341447699</v>
      </c>
      <c r="Q31" t="n">
        <v>204591.657028905</v>
      </c>
      <c r="R31" t="n">
        <v>218988.819803183</v>
      </c>
      <c r="S31" t="n">
        <v>222122.648526502</v>
      </c>
      <c r="T31" t="n">
        <v>220669.516852087</v>
      </c>
      <c r="U31" t="n">
        <v>231768.572064601</v>
      </c>
      <c r="V31" t="n">
        <v>251646.225848494</v>
      </c>
      <c r="W31" t="n">
        <v>181844.276960232</v>
      </c>
      <c r="X31" t="n">
        <v>176619.5728889</v>
      </c>
      <c r="Y31" t="n">
        <v>204822.035782892</v>
      </c>
      <c r="Z31" t="n">
        <v>234893.695282382</v>
      </c>
      <c r="AA31" t="n">
        <v>271168.084295399</v>
      </c>
      <c r="AB31" t="n">
        <v>320110.657786513</v>
      </c>
      <c r="AC31" t="n">
        <v>400853.754933695</v>
      </c>
      <c r="AD31" t="n">
        <v>447757.422740722</v>
      </c>
      <c r="AE31" t="n">
        <v>261901</v>
      </c>
      <c r="AF31" t="n">
        <v>358643</v>
      </c>
    </row>
    <row r="32">
      <c r="A32" t="s">
        <v>38</v>
      </c>
      <c r="B32" t="s">
        <v>221</v>
      </c>
      <c r="C32" t="s">
        <v>129</v>
      </c>
      <c r="D32" t="s">
        <v>222</v>
      </c>
      <c r="E32" t="s">
        <v>130</v>
      </c>
      <c r="F32" t="n">
        <v>131660.885449532</v>
      </c>
      <c r="G32" t="n">
        <v>135994.415381878</v>
      </c>
      <c r="H32" t="n">
        <v>170423.875704011</v>
      </c>
      <c r="I32" t="n">
        <v>173682.762866639</v>
      </c>
      <c r="J32" t="n">
        <v>213930.005544404</v>
      </c>
      <c r="K32" t="n">
        <v>216355.717294137</v>
      </c>
      <c r="L32" t="n">
        <v>248237.848617322</v>
      </c>
      <c r="M32" t="n">
        <v>241006.020135668</v>
      </c>
      <c r="N32" t="n">
        <v>250874.443797943</v>
      </c>
      <c r="O32" t="n">
        <v>284577.13312215</v>
      </c>
      <c r="P32" t="n">
        <v>319812.961468938</v>
      </c>
      <c r="Q32" t="n">
        <v>263738.412617654</v>
      </c>
      <c r="R32" t="n">
        <v>293307.17334591</v>
      </c>
      <c r="S32" t="n">
        <v>497053.191693984</v>
      </c>
      <c r="T32" t="n">
        <v>504344.426645388</v>
      </c>
      <c r="U32" t="n">
        <v>476015.857313663</v>
      </c>
      <c r="V32" t="n">
        <v>456304.157812777</v>
      </c>
      <c r="W32" t="n">
        <v>467051.691821082</v>
      </c>
      <c r="X32" t="n">
        <v>519297.509565603</v>
      </c>
      <c r="Y32" t="n">
        <v>615430.918295801</v>
      </c>
      <c r="Z32" t="n">
        <v>641672.6822463</v>
      </c>
      <c r="AA32" t="n">
        <v>608662.85838692</v>
      </c>
      <c r="AB32" t="n">
        <v>623576.437311615</v>
      </c>
      <c r="AC32" t="n">
        <v>635979.971498226</v>
      </c>
      <c r="AD32" t="n">
        <v>699527.693220981</v>
      </c>
      <c r="AE32" t="n">
        <v>683821</v>
      </c>
      <c r="AF32" t="n">
        <v>698131</v>
      </c>
    </row>
    <row r="33">
      <c r="A33" t="s">
        <v>38</v>
      </c>
      <c r="B33" t="s">
        <v>223</v>
      </c>
      <c r="C33" t="s">
        <v>129</v>
      </c>
      <c r="D33" t="s">
        <v>224</v>
      </c>
      <c r="E33" t="s">
        <v>130</v>
      </c>
      <c r="F33" t="n">
        <v>28203.1460571999</v>
      </c>
      <c r="G33" t="n">
        <v>27406.8595129103</v>
      </c>
      <c r="H33" t="n">
        <v>27251.7665822297</v>
      </c>
      <c r="I33" t="n">
        <v>29195.303423753</v>
      </c>
      <c r="J33" t="n">
        <v>32103.0646301069</v>
      </c>
      <c r="K33" t="n">
        <v>32348.4529118765</v>
      </c>
      <c r="L33" t="n">
        <v>47439.1472972627</v>
      </c>
      <c r="M33" t="n">
        <v>60154.9576365085</v>
      </c>
      <c r="N33" t="n">
        <v>47867.5731776031</v>
      </c>
      <c r="O33" t="n">
        <v>59922.9117538535</v>
      </c>
      <c r="P33" t="n">
        <v>67954.9497468539</v>
      </c>
      <c r="Q33" t="n">
        <v>71700.1080861965</v>
      </c>
      <c r="R33" t="n">
        <v>72992.8588111914</v>
      </c>
      <c r="S33" t="n">
        <v>75823.8119349047</v>
      </c>
      <c r="T33" t="n">
        <v>72704.4818912366</v>
      </c>
      <c r="U33" t="n">
        <v>74916.2031961199</v>
      </c>
      <c r="V33" t="n">
        <v>74691.9606312501</v>
      </c>
      <c r="W33" t="n">
        <v>72645.1585343784</v>
      </c>
      <c r="X33" t="n">
        <v>69695.2358340569</v>
      </c>
      <c r="Y33" t="n">
        <v>74116.9411661742</v>
      </c>
      <c r="Z33" t="n">
        <v>77050.662838112</v>
      </c>
      <c r="AA33" t="n">
        <v>83469.3490795136</v>
      </c>
      <c r="AB33" t="n">
        <v>88345.0196845335</v>
      </c>
      <c r="AC33" t="n">
        <v>97746.619150492</v>
      </c>
      <c r="AD33" t="n">
        <v>102511.88245797</v>
      </c>
      <c r="AE33" t="n">
        <v>120596</v>
      </c>
      <c r="AF33" t="n">
        <v>146371</v>
      </c>
    </row>
    <row r="34">
      <c r="A34" t="s">
        <v>38</v>
      </c>
      <c r="B34" t="s">
        <v>225</v>
      </c>
      <c r="C34" t="s">
        <v>129</v>
      </c>
      <c r="D34" t="s">
        <v>226</v>
      </c>
      <c r="E34" t="s">
        <v>130</v>
      </c>
      <c r="F34" t="n">
        <v>634189.526913788</v>
      </c>
      <c r="G34" t="n">
        <v>638507.477777895</v>
      </c>
      <c r="H34" t="n">
        <v>582521.068701539</v>
      </c>
      <c r="I34" t="n">
        <v>631523.6692283</v>
      </c>
      <c r="J34" t="n">
        <v>646861.753327485</v>
      </c>
      <c r="K34" t="n">
        <v>680477.475717876</v>
      </c>
      <c r="L34" t="n">
        <v>759908.386894989</v>
      </c>
      <c r="M34" t="n">
        <v>889320.960101818</v>
      </c>
      <c r="N34" t="n">
        <v>814106.105551071</v>
      </c>
      <c r="O34" t="n">
        <v>851454.227943747</v>
      </c>
      <c r="P34" t="n">
        <v>882121.549301827</v>
      </c>
      <c r="Q34" t="n">
        <v>894089.825158489</v>
      </c>
      <c r="R34" t="n">
        <v>856444.380921618</v>
      </c>
      <c r="S34" t="n">
        <v>944820.337737717</v>
      </c>
      <c r="T34" t="n">
        <v>893307.733240994</v>
      </c>
      <c r="U34" t="n">
        <v>903977.532533551</v>
      </c>
      <c r="V34" t="n">
        <v>904526.619811264</v>
      </c>
      <c r="W34" t="n">
        <v>879669.8337368</v>
      </c>
      <c r="X34" t="n">
        <v>907484.027777347</v>
      </c>
      <c r="Y34" t="n">
        <v>939661.58027866</v>
      </c>
      <c r="Z34" t="n">
        <v>1022383.21057002</v>
      </c>
      <c r="AA34" t="n">
        <v>1078168.29706824</v>
      </c>
      <c r="AB34" t="n">
        <v>1119545.42398277</v>
      </c>
      <c r="AC34" t="n">
        <v>1197509.1328856</v>
      </c>
      <c r="AD34" t="n">
        <v>1255795.14415961</v>
      </c>
      <c r="AE34" t="n">
        <v>957119</v>
      </c>
      <c r="AF34" t="n">
        <v>1110887</v>
      </c>
    </row>
    <row r="35">
      <c r="A35" t="s">
        <v>38</v>
      </c>
      <c r="B35" t="s">
        <v>227</v>
      </c>
      <c r="C35" t="s">
        <v>129</v>
      </c>
      <c r="D35" t="s">
        <v>228</v>
      </c>
      <c r="E35" t="s">
        <v>130</v>
      </c>
      <c r="F35" t="n">
        <v>363553.235970821</v>
      </c>
      <c r="G35" t="n">
        <v>404684.104440668</v>
      </c>
      <c r="H35" t="n">
        <v>498456.304211545</v>
      </c>
      <c r="I35" t="n">
        <v>502715.61005953</v>
      </c>
      <c r="J35" t="n">
        <v>559341.981745536</v>
      </c>
      <c r="K35" t="n">
        <v>685732.76643614</v>
      </c>
      <c r="L35" t="n">
        <v>762602.260835329</v>
      </c>
      <c r="M35" t="n">
        <v>853243.896481379</v>
      </c>
      <c r="N35" t="n">
        <v>867934.715609336</v>
      </c>
      <c r="O35" t="n">
        <v>912931.496326737</v>
      </c>
      <c r="P35" t="n">
        <v>980380.278717862</v>
      </c>
      <c r="Q35" t="n">
        <v>1006208.61196163</v>
      </c>
      <c r="R35" t="n">
        <v>995026.940864836</v>
      </c>
      <c r="S35" t="n">
        <v>963050.611955452</v>
      </c>
      <c r="T35" t="n">
        <v>1046712.44837548</v>
      </c>
      <c r="U35" t="n">
        <v>952690.489322532</v>
      </c>
      <c r="V35" t="n">
        <v>978160.169417604</v>
      </c>
      <c r="W35" t="n">
        <v>971550.593681757</v>
      </c>
      <c r="X35" t="n">
        <v>1023050.10310122</v>
      </c>
      <c r="Y35" t="n">
        <v>1061670.96631514</v>
      </c>
      <c r="Z35" t="n">
        <v>1105306.87796259</v>
      </c>
      <c r="AA35" t="n">
        <v>1211647.71651931</v>
      </c>
      <c r="AB35" t="n">
        <v>1330503.0130501</v>
      </c>
      <c r="AC35" t="n">
        <v>1402265.04572219</v>
      </c>
      <c r="AD35" t="n">
        <v>1475764.87958315</v>
      </c>
      <c r="AE35" t="n">
        <v>1368949</v>
      </c>
      <c r="AF35" t="n">
        <v>1752377</v>
      </c>
    </row>
    <row r="36">
      <c r="A36" t="s">
        <v>38</v>
      </c>
      <c r="B36" t="s">
        <v>229</v>
      </c>
      <c r="C36" t="s">
        <v>129</v>
      </c>
      <c r="D36" t="s">
        <v>230</v>
      </c>
      <c r="E36" t="s">
        <v>130</v>
      </c>
      <c r="F36" t="n">
        <v>139083.474138504</v>
      </c>
      <c r="G36" t="n">
        <v>153747.574990862</v>
      </c>
      <c r="H36" t="n">
        <v>200745.920003634</v>
      </c>
      <c r="I36" t="n">
        <v>194882.560531619</v>
      </c>
      <c r="J36" t="n">
        <v>209244.261855762</v>
      </c>
      <c r="K36" t="n">
        <v>248222.682918959</v>
      </c>
      <c r="L36" t="n">
        <v>291210.019115996</v>
      </c>
      <c r="M36" t="n">
        <v>339677.742616226</v>
      </c>
      <c r="N36" t="n">
        <v>332829.675575746</v>
      </c>
      <c r="O36" t="n">
        <v>351346.910389759</v>
      </c>
      <c r="P36" t="n">
        <v>371157.378098245</v>
      </c>
      <c r="Q36" t="n">
        <v>360079.087895689</v>
      </c>
      <c r="R36" t="n">
        <v>362054.391569194</v>
      </c>
      <c r="S36" t="n">
        <v>349960.866924022</v>
      </c>
      <c r="T36" t="n">
        <v>406531.215958441</v>
      </c>
      <c r="U36" t="n">
        <v>366794.833410667</v>
      </c>
      <c r="V36" t="n">
        <v>397558.242796074</v>
      </c>
      <c r="W36" t="n">
        <v>431839.961692992</v>
      </c>
      <c r="X36" t="n">
        <v>411377.850732114</v>
      </c>
      <c r="Y36" t="n">
        <v>419134.83340212</v>
      </c>
      <c r="Z36" t="n">
        <v>400426.793083114</v>
      </c>
      <c r="AA36" t="n">
        <v>460090.209372985</v>
      </c>
      <c r="AB36" t="n">
        <v>510961.714333972</v>
      </c>
      <c r="AC36" t="n">
        <v>541915.223496382</v>
      </c>
      <c r="AD36" t="n">
        <v>534145.405744074</v>
      </c>
      <c r="AE36" t="n">
        <v>455376</v>
      </c>
      <c r="AF36" t="n">
        <v>603100</v>
      </c>
    </row>
    <row r="37">
      <c r="A37" t="s">
        <v>38</v>
      </c>
      <c r="B37" t="s">
        <v>231</v>
      </c>
      <c r="C37" t="s">
        <v>129</v>
      </c>
      <c r="D37" t="s">
        <v>232</v>
      </c>
      <c r="E37" t="s">
        <v>130</v>
      </c>
      <c r="F37" t="n">
        <v>141525.784601567</v>
      </c>
      <c r="G37" t="n">
        <v>155214.899714305</v>
      </c>
      <c r="H37" t="n">
        <v>185542.451951874</v>
      </c>
      <c r="I37" t="n">
        <v>169873.412372148</v>
      </c>
      <c r="J37" t="n">
        <v>197802.740255135</v>
      </c>
      <c r="K37" t="n">
        <v>256280.834769086</v>
      </c>
      <c r="L37" t="n">
        <v>255368.519444592</v>
      </c>
      <c r="M37" t="n">
        <v>266168.590621145</v>
      </c>
      <c r="N37" t="n">
        <v>283358.875185401</v>
      </c>
      <c r="O37" t="n">
        <v>303177.262255586</v>
      </c>
      <c r="P37" t="n">
        <v>342518.991579785</v>
      </c>
      <c r="Q37" t="n">
        <v>355093.295378398</v>
      </c>
      <c r="R37" t="n">
        <v>339888.269616298</v>
      </c>
      <c r="S37" t="n">
        <v>306657.189139572</v>
      </c>
      <c r="T37" t="n">
        <v>309790.691502964</v>
      </c>
      <c r="U37" t="n">
        <v>275467.003869669</v>
      </c>
      <c r="V37" t="n">
        <v>274053.472541208</v>
      </c>
      <c r="W37" t="n">
        <v>247173.044983478</v>
      </c>
      <c r="X37" t="n">
        <v>287613.244484046</v>
      </c>
      <c r="Y37" t="n">
        <v>293378.900232702</v>
      </c>
      <c r="Z37" t="n">
        <v>320044.567632267</v>
      </c>
      <c r="AA37" t="n">
        <v>338863.287112451</v>
      </c>
      <c r="AB37" t="n">
        <v>358585.832192944</v>
      </c>
      <c r="AC37" t="n">
        <v>351695.404675578</v>
      </c>
      <c r="AD37" t="n">
        <v>355015.952079713</v>
      </c>
      <c r="AE37" t="n">
        <v>324788</v>
      </c>
      <c r="AF37" t="n">
        <v>425419</v>
      </c>
    </row>
    <row r="38">
      <c r="A38" t="s">
        <v>38</v>
      </c>
      <c r="B38" t="s">
        <v>233</v>
      </c>
      <c r="C38" t="s">
        <v>129</v>
      </c>
      <c r="D38" t="s">
        <v>234</v>
      </c>
      <c r="E38" t="s">
        <v>130</v>
      </c>
      <c r="F38" t="n">
        <v>67013.0363068495</v>
      </c>
      <c r="G38" t="n">
        <v>78911.1325275464</v>
      </c>
      <c r="H38" t="n">
        <v>89355.8989279975</v>
      </c>
      <c r="I38" t="n">
        <v>122765.646515766</v>
      </c>
      <c r="J38" t="n">
        <v>135663.579083818</v>
      </c>
      <c r="K38" t="n">
        <v>159616.876645227</v>
      </c>
      <c r="L38" t="n">
        <v>196200.243494434</v>
      </c>
      <c r="M38" t="n">
        <v>225989.174587468</v>
      </c>
      <c r="N38" t="n">
        <v>231183.831635629</v>
      </c>
      <c r="O38" t="n">
        <v>235252.609743253</v>
      </c>
      <c r="P38" t="n">
        <v>239607.644717635</v>
      </c>
      <c r="Q38" t="n">
        <v>266221.63860767</v>
      </c>
      <c r="R38" t="n">
        <v>270636.029555078</v>
      </c>
      <c r="S38" t="n">
        <v>290322.276369198</v>
      </c>
      <c r="T38" t="n">
        <v>319132.418535098</v>
      </c>
      <c r="U38" t="n">
        <v>301649.893186074</v>
      </c>
      <c r="V38" t="n">
        <v>299668.473507668</v>
      </c>
      <c r="W38" t="n">
        <v>291594.168537189</v>
      </c>
      <c r="X38" t="n">
        <v>316935.061815151</v>
      </c>
      <c r="Y38" t="n">
        <v>343113.626952981</v>
      </c>
      <c r="Z38" t="n">
        <v>376812.914448062</v>
      </c>
      <c r="AA38" t="n">
        <v>405886.519675355</v>
      </c>
      <c r="AB38" t="n">
        <v>455746.021873661</v>
      </c>
      <c r="AC38" t="n">
        <v>507303.405715579</v>
      </c>
      <c r="AD38" t="n">
        <v>586396.121876271</v>
      </c>
      <c r="AE38" t="n">
        <v>588785</v>
      </c>
      <c r="AF38" t="n">
        <v>723858</v>
      </c>
    </row>
    <row r="39">
      <c r="A39" t="s">
        <v>38</v>
      </c>
      <c r="B39" t="s">
        <v>235</v>
      </c>
      <c r="C39" t="s">
        <v>129</v>
      </c>
      <c r="D39" t="s">
        <v>236</v>
      </c>
      <c r="E39" t="s">
        <v>130</v>
      </c>
      <c r="F39" t="n">
        <v>484207.647160733</v>
      </c>
      <c r="G39" t="n">
        <v>433784.62098972</v>
      </c>
      <c r="H39" t="n">
        <v>483890.110878451</v>
      </c>
      <c r="I39" t="n">
        <v>565813.307204104</v>
      </c>
      <c r="J39" t="n">
        <v>584514.251033559</v>
      </c>
      <c r="K39" t="n">
        <v>681687.611607424</v>
      </c>
      <c r="L39" t="n">
        <v>698372.406017351</v>
      </c>
      <c r="M39" t="n">
        <v>771629.214063994</v>
      </c>
      <c r="N39" t="n">
        <v>851556.724120321</v>
      </c>
      <c r="O39" t="n">
        <v>917266.742473002</v>
      </c>
      <c r="P39" t="n">
        <v>1003200.37978392</v>
      </c>
      <c r="Q39" t="n">
        <v>1047619.79007882</v>
      </c>
      <c r="R39" t="n">
        <v>1138151.14779381</v>
      </c>
      <c r="S39" t="n">
        <v>1177734.2237352</v>
      </c>
      <c r="T39" t="n">
        <v>1198632.30070635</v>
      </c>
      <c r="U39" t="n">
        <v>1115533.42536431</v>
      </c>
      <c r="V39" t="n">
        <v>1018427.61718466</v>
      </c>
      <c r="W39" t="n">
        <v>947569.788746712</v>
      </c>
      <c r="X39" t="n">
        <v>864281.06524728</v>
      </c>
      <c r="Y39" t="n">
        <v>824869.489298437</v>
      </c>
      <c r="Z39" t="n">
        <v>859927.513444922</v>
      </c>
      <c r="AA39" t="n">
        <v>908163.641870604</v>
      </c>
      <c r="AB39" t="n">
        <v>965770.08682444</v>
      </c>
      <c r="AC39" t="n">
        <v>1003177.53213326</v>
      </c>
      <c r="AD39" t="n">
        <v>1070830.8251045</v>
      </c>
      <c r="AE39" t="n">
        <v>1092143</v>
      </c>
      <c r="AF39" t="n">
        <v>1156702</v>
      </c>
    </row>
    <row r="40">
      <c r="A40" t="s">
        <v>38</v>
      </c>
      <c r="B40" t="s">
        <v>237</v>
      </c>
      <c r="C40" t="s">
        <v>129</v>
      </c>
      <c r="D40" t="s">
        <v>238</v>
      </c>
      <c r="E40" t="s">
        <v>130</v>
      </c>
      <c r="F40" t="n">
        <v>349653.585550331</v>
      </c>
      <c r="G40" t="n">
        <v>413795.635609679</v>
      </c>
      <c r="H40" t="n">
        <v>439170.078832058</v>
      </c>
      <c r="I40" t="n">
        <v>481069.070620137</v>
      </c>
      <c r="J40" t="n">
        <v>507661.209152248</v>
      </c>
      <c r="K40" t="n">
        <v>694041.65198043</v>
      </c>
      <c r="L40" t="n">
        <v>828006.203134828</v>
      </c>
      <c r="M40" t="n">
        <v>942170.759162206</v>
      </c>
      <c r="N40" t="n">
        <v>1055372.86885287</v>
      </c>
      <c r="O40" t="n">
        <v>1159808.18172558</v>
      </c>
      <c r="P40" t="n">
        <v>1267326.2946702</v>
      </c>
      <c r="Q40" t="n">
        <v>1331625.28012278</v>
      </c>
      <c r="R40" t="n">
        <v>1384900.13891266</v>
      </c>
      <c r="S40" t="n">
        <v>1397510.64975795</v>
      </c>
      <c r="T40" t="n">
        <v>1264040.58635552</v>
      </c>
      <c r="U40" t="n">
        <v>1175090.29422165</v>
      </c>
      <c r="V40" t="n">
        <v>1106910.90990097</v>
      </c>
      <c r="W40" t="n">
        <v>1034089.00132817</v>
      </c>
      <c r="X40" t="n">
        <v>1032828.2189935</v>
      </c>
      <c r="Y40" t="n">
        <v>1058111.11304279</v>
      </c>
      <c r="Z40" t="n">
        <v>1111562.27608842</v>
      </c>
      <c r="AA40" t="n">
        <v>1147931.89510001</v>
      </c>
      <c r="AB40" t="n">
        <v>1219854.78681963</v>
      </c>
      <c r="AC40" t="n">
        <v>1385396.36458982</v>
      </c>
      <c r="AD40" t="n">
        <v>1520745.12581343</v>
      </c>
      <c r="AE40" t="n">
        <v>1532356</v>
      </c>
      <c r="AF40" t="n">
        <v>1560253</v>
      </c>
    </row>
    <row r="41">
      <c r="A41" t="s">
        <v>38</v>
      </c>
      <c r="B41" t="s">
        <v>239</v>
      </c>
      <c r="C41" t="s">
        <v>129</v>
      </c>
      <c r="D41" t="s">
        <v>240</v>
      </c>
      <c r="E41" t="s">
        <v>130</v>
      </c>
      <c r="F41" t="n">
        <v>252396.829122003</v>
      </c>
      <c r="G41" t="n">
        <v>240778.386746812</v>
      </c>
      <c r="H41" t="n">
        <v>217237.521809044</v>
      </c>
      <c r="I41" t="n">
        <v>207064.693578615</v>
      </c>
      <c r="J41" t="n">
        <v>203331.284983163</v>
      </c>
      <c r="K41" t="n">
        <v>271894.32935273</v>
      </c>
      <c r="L41" t="n">
        <v>295912.974535606</v>
      </c>
      <c r="M41" t="n">
        <v>341301.642579356</v>
      </c>
      <c r="N41" t="n">
        <v>483459.733154968</v>
      </c>
      <c r="O41" t="n">
        <v>567227.86374761</v>
      </c>
      <c r="P41" t="n">
        <v>578872.437885272</v>
      </c>
      <c r="Q41" t="n">
        <v>608105.306499187</v>
      </c>
      <c r="R41" t="n">
        <v>601392.938714677</v>
      </c>
      <c r="S41" t="n">
        <v>542137.369813022</v>
      </c>
      <c r="T41" t="n">
        <v>498329.226858407</v>
      </c>
      <c r="U41" t="n">
        <v>497782.474578482</v>
      </c>
      <c r="V41" t="n">
        <v>495202.995721533</v>
      </c>
      <c r="W41" t="n">
        <v>482670.801237927</v>
      </c>
      <c r="X41" t="n">
        <v>448038.754126498</v>
      </c>
      <c r="Y41" t="n">
        <v>467762.609487886</v>
      </c>
      <c r="Z41" t="n">
        <v>490502.413405231</v>
      </c>
      <c r="AA41" t="n">
        <v>500230.551846399</v>
      </c>
      <c r="AB41" t="n">
        <v>497788.101354012</v>
      </c>
      <c r="AC41" t="n">
        <v>537462.349366576</v>
      </c>
      <c r="AD41" t="n">
        <v>579177.42278906</v>
      </c>
      <c r="AE41" t="n">
        <v>618145</v>
      </c>
      <c r="AF41" t="n">
        <v>653388</v>
      </c>
    </row>
    <row r="42">
      <c r="A42" t="s">
        <v>38</v>
      </c>
      <c r="B42" t="s">
        <v>241</v>
      </c>
      <c r="C42" t="s">
        <v>129</v>
      </c>
      <c r="D42" t="s">
        <v>242</v>
      </c>
      <c r="E42" t="s">
        <v>130</v>
      </c>
      <c r="F42" t="n">
        <v>538120.215397342</v>
      </c>
      <c r="G42" t="n">
        <v>534793.539276705</v>
      </c>
      <c r="H42" t="n">
        <v>612037.994219982</v>
      </c>
      <c r="I42" t="n">
        <v>578423.202766461</v>
      </c>
      <c r="J42" t="n">
        <v>605105.413080397</v>
      </c>
      <c r="K42" t="n">
        <v>643851.732792768</v>
      </c>
      <c r="L42" t="n">
        <v>811822.90674536</v>
      </c>
      <c r="M42" t="n">
        <v>928466.483858794</v>
      </c>
      <c r="N42" t="n">
        <v>981181.308774943</v>
      </c>
      <c r="O42" t="n">
        <v>1041764.74845498</v>
      </c>
      <c r="P42" t="n">
        <v>1063225.58875612</v>
      </c>
      <c r="Q42" t="n">
        <v>1054058.74059063</v>
      </c>
      <c r="R42" t="n">
        <v>1020921.78657356</v>
      </c>
      <c r="S42" t="n">
        <v>1047689.36708368</v>
      </c>
      <c r="T42" t="n">
        <v>981533.907015579</v>
      </c>
      <c r="U42" t="n">
        <v>962417.177334205</v>
      </c>
      <c r="V42" t="n">
        <v>876269.1794781</v>
      </c>
      <c r="W42" t="n">
        <v>831394.402143405</v>
      </c>
      <c r="X42" t="n">
        <v>926470.14134723</v>
      </c>
      <c r="Y42" t="n">
        <v>1019930.21438499</v>
      </c>
      <c r="Z42" t="n">
        <v>1106051.76218452</v>
      </c>
      <c r="AA42" t="n">
        <v>1147283.1442051</v>
      </c>
      <c r="AB42" t="n">
        <v>1242182.35414898</v>
      </c>
      <c r="AC42" t="n">
        <v>1402324.64696494</v>
      </c>
      <c r="AD42" t="n">
        <v>1592664.1499222</v>
      </c>
      <c r="AE42" t="n">
        <v>1691919</v>
      </c>
      <c r="AF42" t="n">
        <v>1875280</v>
      </c>
    </row>
    <row r="43">
      <c r="A43" t="s">
        <v>38</v>
      </c>
      <c r="B43" t="s">
        <v>243</v>
      </c>
      <c r="C43" t="s">
        <v>129</v>
      </c>
      <c r="D43" t="s">
        <v>244</v>
      </c>
      <c r="E43" t="s">
        <v>130</v>
      </c>
      <c r="F43" t="n">
        <v>858990.575208319</v>
      </c>
      <c r="G43" t="n">
        <v>873655.041791122</v>
      </c>
      <c r="H43" t="n">
        <v>966078.731616462</v>
      </c>
      <c r="I43" t="n">
        <v>942473.01735931</v>
      </c>
      <c r="J43" t="n">
        <v>985060.091429732</v>
      </c>
      <c r="K43" t="n">
        <v>1068855.77329203</v>
      </c>
      <c r="L43" t="n">
        <v>1369584.58331789</v>
      </c>
      <c r="M43" t="n">
        <v>1533848.49672857</v>
      </c>
      <c r="N43" t="n">
        <v>1672956.18825159</v>
      </c>
      <c r="O43" t="n">
        <v>1753591.8852595</v>
      </c>
      <c r="P43" t="n">
        <v>1765307.94845206</v>
      </c>
      <c r="Q43" t="n">
        <v>1727946.12362715</v>
      </c>
      <c r="R43" t="n">
        <v>1665571.41798313</v>
      </c>
      <c r="S43" t="n">
        <v>1752399.88294105</v>
      </c>
      <c r="T43" t="n">
        <v>1668394.35661936</v>
      </c>
      <c r="U43" t="n">
        <v>1628072.9138198</v>
      </c>
      <c r="V43" t="n">
        <v>1497010.69098483</v>
      </c>
      <c r="W43" t="n">
        <v>1448895.7065396</v>
      </c>
      <c r="X43" t="n">
        <v>1594747.63828881</v>
      </c>
      <c r="Y43" t="n">
        <v>1767374.01363893</v>
      </c>
      <c r="Z43" t="n">
        <v>1931958.20082282</v>
      </c>
      <c r="AA43" t="n">
        <v>2006278.24313798</v>
      </c>
      <c r="AB43" t="n">
        <v>2136745.46894968</v>
      </c>
      <c r="AC43" t="n">
        <v>2453777.39175979</v>
      </c>
      <c r="AD43" t="n">
        <v>2673066.88072046</v>
      </c>
      <c r="AE43" t="n">
        <v>2568933</v>
      </c>
      <c r="AF43" t="n">
        <v>2913248</v>
      </c>
    </row>
    <row r="44">
      <c r="A44" t="s">
        <v>38</v>
      </c>
      <c r="B44" t="s">
        <v>245</v>
      </c>
      <c r="C44" t="s">
        <v>129</v>
      </c>
      <c r="D44" t="s">
        <v>246</v>
      </c>
      <c r="E44" t="s">
        <v>130</v>
      </c>
      <c r="F44" t="n">
        <v>15705234.5226024</v>
      </c>
      <c r="G44" t="n">
        <v>16297728.1932223</v>
      </c>
      <c r="H44" t="n">
        <v>17827524.6185961</v>
      </c>
      <c r="I44" t="n">
        <v>19615538.8774453</v>
      </c>
      <c r="J44" t="n">
        <v>20980765.295455</v>
      </c>
      <c r="K44" t="n">
        <v>23150347.788203</v>
      </c>
      <c r="L44" t="n">
        <v>25703530.8701444</v>
      </c>
      <c r="M44" t="n">
        <v>28151123.8983331</v>
      </c>
      <c r="N44" t="n">
        <v>29857139.3188027</v>
      </c>
      <c r="O44" t="n">
        <v>32109313.8228837</v>
      </c>
      <c r="P44" t="n">
        <v>34350806.0020888</v>
      </c>
      <c r="Q44" t="n">
        <v>36205846.4764843</v>
      </c>
      <c r="R44" t="n">
        <v>36230345.3311809</v>
      </c>
      <c r="S44" t="n">
        <v>37820249.1285893</v>
      </c>
      <c r="T44" t="n">
        <v>33466911.6830362</v>
      </c>
      <c r="U44" t="n">
        <v>34751019.7644243</v>
      </c>
      <c r="V44" t="n">
        <v>35810815.3949432</v>
      </c>
      <c r="W44" t="n">
        <v>33988102.0997255</v>
      </c>
      <c r="X44" t="n">
        <v>35737116.373774</v>
      </c>
      <c r="Y44" t="n">
        <v>38410137.4519369</v>
      </c>
      <c r="Z44" t="n">
        <v>40400356.3706429</v>
      </c>
      <c r="AA44" t="n">
        <v>41460446.9020757</v>
      </c>
      <c r="AB44" t="n">
        <v>43463659.652911</v>
      </c>
      <c r="AC44" t="n">
        <v>46354707.9109016</v>
      </c>
      <c r="AD44" t="n">
        <v>49325249.9968544</v>
      </c>
      <c r="AE44" t="n">
        <v>47971619</v>
      </c>
      <c r="AF44" t="n">
        <v>52220024</v>
      </c>
    </row>
    <row r="45">
      <c r="A45" t="s">
        <v>38</v>
      </c>
      <c r="B45" t="s">
        <v>247</v>
      </c>
      <c r="C45" t="s">
        <v>129</v>
      </c>
      <c r="D45" t="s">
        <v>248</v>
      </c>
      <c r="E45" t="s">
        <v>130</v>
      </c>
      <c r="F45" t="n">
        <v>13723905.017756</v>
      </c>
      <c r="G45" t="n">
        <v>14226009.7080027</v>
      </c>
      <c r="H45" t="n">
        <v>15896802.6848684</v>
      </c>
      <c r="I45" t="n">
        <v>17599894.1436293</v>
      </c>
      <c r="J45" t="n">
        <v>18945418.1653964</v>
      </c>
      <c r="K45" t="n">
        <v>21144626.7574311</v>
      </c>
      <c r="L45" t="n">
        <v>23482159.2558097</v>
      </c>
      <c r="M45" t="n">
        <v>25901908.3753182</v>
      </c>
      <c r="N45" t="n">
        <v>27748895.197208</v>
      </c>
      <c r="O45" t="n">
        <v>30089608.065182</v>
      </c>
      <c r="P45" t="n">
        <v>32426355.7820592</v>
      </c>
      <c r="Q45" t="n">
        <v>34255261.9611548</v>
      </c>
      <c r="R45" t="n">
        <v>34279456.3590685</v>
      </c>
      <c r="S45" t="n">
        <v>36034517.7829191</v>
      </c>
      <c r="T45" t="n">
        <v>31683863.5333636</v>
      </c>
      <c r="U45" t="n">
        <v>33077420.1246384</v>
      </c>
      <c r="V45" t="n">
        <v>34072220.5355338</v>
      </c>
      <c r="W45" t="n">
        <v>32289720.278963</v>
      </c>
      <c r="X45" t="n">
        <v>33926904.5459758</v>
      </c>
      <c r="Y45" t="n">
        <v>36525243.6873959</v>
      </c>
      <c r="Z45" t="n">
        <v>38525780.2374032</v>
      </c>
      <c r="AA45" t="n">
        <v>39536089.9388573</v>
      </c>
      <c r="AB45" t="n">
        <v>41588189.0871453</v>
      </c>
      <c r="AC45" t="n">
        <v>44445779.6157323</v>
      </c>
      <c r="AD45" t="n">
        <v>47372202.5368561</v>
      </c>
      <c r="AE45" t="n">
        <v>45948591</v>
      </c>
      <c r="AF45" t="n">
        <v>50204389</v>
      </c>
    </row>
    <row r="46">
      <c r="A46" t="s">
        <v>38</v>
      </c>
      <c r="B46" t="s">
        <v>249</v>
      </c>
      <c r="C46" t="s">
        <v>129</v>
      </c>
      <c r="D46" t="s">
        <v>250</v>
      </c>
      <c r="E46" t="s">
        <v>130</v>
      </c>
      <c r="F46" t="n">
        <v>316916.16405008</v>
      </c>
      <c r="G46" t="n">
        <v>336168.378658384</v>
      </c>
      <c r="H46" t="n">
        <v>348769.294280312</v>
      </c>
      <c r="I46" t="n">
        <v>361252.349544027</v>
      </c>
      <c r="J46" t="n">
        <v>376961.814048988</v>
      </c>
      <c r="K46" t="n">
        <v>423535.067214925</v>
      </c>
      <c r="L46" t="n">
        <v>557674.647975512</v>
      </c>
      <c r="M46" t="n">
        <v>602749.393935155</v>
      </c>
      <c r="N46" t="n">
        <v>693049.541991055</v>
      </c>
      <c r="O46" t="n">
        <v>710719.82658869</v>
      </c>
      <c r="P46" t="n">
        <v>698400.258254395</v>
      </c>
      <c r="Q46" t="n">
        <v>668032.566455442</v>
      </c>
      <c r="R46" t="n">
        <v>638379.882550043</v>
      </c>
      <c r="S46" t="n">
        <v>701767.459922981</v>
      </c>
      <c r="T46" t="n">
        <v>685524.444853864</v>
      </c>
      <c r="U46" t="n">
        <v>663925.813033461</v>
      </c>
      <c r="V46" t="n">
        <v>619901.342671724</v>
      </c>
      <c r="W46" t="n">
        <v>617945.29500793</v>
      </c>
      <c r="X46" t="n">
        <v>668154.171292202</v>
      </c>
      <c r="Y46" t="n">
        <v>747571.595602104</v>
      </c>
      <c r="Z46" t="n">
        <v>826237.977612179</v>
      </c>
      <c r="AA46" t="n">
        <v>859366.977994634</v>
      </c>
      <c r="AB46" t="n">
        <v>894683.295095454</v>
      </c>
      <c r="AC46" t="n">
        <v>1051935.63448431</v>
      </c>
      <c r="AD46" t="n">
        <v>1080478.76951596</v>
      </c>
      <c r="AE46" t="n">
        <v>877014</v>
      </c>
      <c r="AF46" t="n">
        <v>1037968</v>
      </c>
    </row>
    <row r="47">
      <c r="A47" t="s">
        <v>38</v>
      </c>
      <c r="B47" t="s">
        <v>251</v>
      </c>
      <c r="C47" t="s">
        <v>129</v>
      </c>
      <c r="D47" t="s">
        <v>252</v>
      </c>
      <c r="E47" t="s">
        <v>130</v>
      </c>
      <c r="F47" t="n">
        <v>639492.06635318</v>
      </c>
      <c r="G47" t="n">
        <v>600769.498582007</v>
      </c>
      <c r="H47" t="n">
        <v>564865.887531236</v>
      </c>
      <c r="I47" t="n">
        <v>576103.310751946</v>
      </c>
      <c r="J47" t="n">
        <v>585327.124278399</v>
      </c>
      <c r="K47" t="n">
        <v>642889.214942836</v>
      </c>
      <c r="L47" t="n">
        <v>649642.548570469</v>
      </c>
      <c r="M47" t="n">
        <v>710449.110155901</v>
      </c>
      <c r="N47" t="n">
        <v>736288.154897537</v>
      </c>
      <c r="O47" t="n">
        <v>759677.562195665</v>
      </c>
      <c r="P47" t="n">
        <v>787925.981000035</v>
      </c>
      <c r="Q47" t="n">
        <v>858027.817829024</v>
      </c>
      <c r="R47" t="n">
        <v>856002.713692537</v>
      </c>
      <c r="S47" t="n">
        <v>930889.611549735</v>
      </c>
      <c r="T47" t="n">
        <v>954095.390397187</v>
      </c>
      <c r="U47" t="n">
        <v>915188.47387675</v>
      </c>
      <c r="V47" t="n">
        <v>843568.477371745</v>
      </c>
      <c r="W47" t="n">
        <v>826170.195028694</v>
      </c>
      <c r="X47" t="n">
        <v>941142.98576905</v>
      </c>
      <c r="Y47" t="n">
        <v>1119122.56173036</v>
      </c>
      <c r="Z47" t="n">
        <v>1142104.68910195</v>
      </c>
      <c r="AA47" t="n">
        <v>1129075.23468976</v>
      </c>
      <c r="AB47" t="n">
        <v>1359832.3049884</v>
      </c>
      <c r="AC47" t="n">
        <v>1445753.40414939</v>
      </c>
      <c r="AD47" t="n">
        <v>1655914.7829062</v>
      </c>
      <c r="AE47" t="n">
        <v>1469276</v>
      </c>
      <c r="AF47" t="n">
        <v>1563998</v>
      </c>
    </row>
    <row r="48">
      <c r="A48" t="s">
        <v>38</v>
      </c>
      <c r="B48" t="s">
        <v>253</v>
      </c>
      <c r="C48" t="s">
        <v>129</v>
      </c>
      <c r="D48" t="s">
        <v>254</v>
      </c>
      <c r="E48" t="s">
        <v>130</v>
      </c>
      <c r="F48" t="n">
        <v>1381969.25018358</v>
      </c>
      <c r="G48" t="n">
        <v>1366305.66760655</v>
      </c>
      <c r="H48" t="n">
        <v>1281608.66321516</v>
      </c>
      <c r="I48" t="n">
        <v>1354695.56658803</v>
      </c>
      <c r="J48" t="n">
        <v>1395179.79623093</v>
      </c>
      <c r="K48" t="n">
        <v>1467181.8279537</v>
      </c>
      <c r="L48" t="n">
        <v>1536530.82376912</v>
      </c>
      <c r="M48" t="n">
        <v>1696725.77038464</v>
      </c>
      <c r="N48" t="n">
        <v>1765042.65930172</v>
      </c>
      <c r="O48" t="n">
        <v>1835555.16188812</v>
      </c>
      <c r="P48" t="n">
        <v>1906123.77706902</v>
      </c>
      <c r="Q48" t="n">
        <v>1975365.783339</v>
      </c>
      <c r="R48" t="n">
        <v>1932289.7595024</v>
      </c>
      <c r="S48" t="n">
        <v>2059975.82964561</v>
      </c>
      <c r="T48" t="n">
        <v>2178868.08294259</v>
      </c>
      <c r="U48" t="n">
        <v>2129405.64323674</v>
      </c>
      <c r="V48" t="n">
        <v>1988802.06153232</v>
      </c>
      <c r="W48" t="n">
        <v>1928930.75902163</v>
      </c>
      <c r="X48" t="n">
        <v>2037537.56580744</v>
      </c>
      <c r="Y48" t="n">
        <v>2301882.55605551</v>
      </c>
      <c r="Z48" t="n">
        <v>2516321.74852815</v>
      </c>
      <c r="AA48" t="n">
        <v>2529941.75360715</v>
      </c>
      <c r="AB48" t="n">
        <v>2849217.78294405</v>
      </c>
      <c r="AC48" t="n">
        <v>3024900.08306965</v>
      </c>
      <c r="AD48" t="n">
        <v>3331574.64610223</v>
      </c>
      <c r="AE48" t="n">
        <v>3419831</v>
      </c>
      <c r="AF48" t="n">
        <v>3607636</v>
      </c>
    </row>
    <row r="49">
      <c r="A49" t="s">
        <v>38</v>
      </c>
      <c r="B49" t="s">
        <v>255</v>
      </c>
      <c r="C49" t="s">
        <v>129</v>
      </c>
      <c r="D49" t="s">
        <v>256</v>
      </c>
      <c r="E49" t="s">
        <v>130</v>
      </c>
      <c r="F49" t="n">
        <v>273470.118356037</v>
      </c>
      <c r="G49" t="n">
        <v>270865.381084541</v>
      </c>
      <c r="H49" t="n">
        <v>262025.0813191</v>
      </c>
      <c r="I49" t="n">
        <v>296929.76851306</v>
      </c>
      <c r="J49" t="n">
        <v>307071.93761668</v>
      </c>
      <c r="K49" t="n">
        <v>304930.508400198</v>
      </c>
      <c r="L49" t="n">
        <v>331195.567550804</v>
      </c>
      <c r="M49" t="n">
        <v>367373.533222179</v>
      </c>
      <c r="N49" t="n">
        <v>366695.219729573</v>
      </c>
      <c r="O49" t="n">
        <v>381218.924866892</v>
      </c>
      <c r="P49" t="n">
        <v>397652.055499442</v>
      </c>
      <c r="Q49" t="n">
        <v>400199.484312724</v>
      </c>
      <c r="R49" t="n">
        <v>375697.752835634</v>
      </c>
      <c r="S49" t="n">
        <v>395445.937725591</v>
      </c>
      <c r="T49" t="n">
        <v>413597.853524628</v>
      </c>
      <c r="U49" t="n">
        <v>402791.96024094</v>
      </c>
      <c r="V49" t="n">
        <v>366027.460722983</v>
      </c>
      <c r="W49" t="n">
        <v>333435.198268784</v>
      </c>
      <c r="X49" t="n">
        <v>331447.632598261</v>
      </c>
      <c r="Y49" t="n">
        <v>396926.944882921</v>
      </c>
      <c r="Z49" t="n">
        <v>400112.385307199</v>
      </c>
      <c r="AA49" t="n">
        <v>425919.95995695</v>
      </c>
      <c r="AB49" t="n">
        <v>470696.531834218</v>
      </c>
      <c r="AC49" t="n">
        <v>495145.365493764</v>
      </c>
      <c r="AD49" t="n">
        <v>542499.717438422</v>
      </c>
      <c r="AE49" t="n">
        <v>513588</v>
      </c>
      <c r="AF49" t="n">
        <v>540700</v>
      </c>
    </row>
    <row r="50">
      <c r="A50" t="s">
        <v>38</v>
      </c>
      <c r="B50" t="s">
        <v>257</v>
      </c>
      <c r="C50" t="s">
        <v>129</v>
      </c>
      <c r="D50" t="s">
        <v>258</v>
      </c>
      <c r="E50" t="s">
        <v>130</v>
      </c>
      <c r="F50" t="n">
        <v>465179.422954118</v>
      </c>
      <c r="G50" t="n">
        <v>490895.419173696</v>
      </c>
      <c r="H50" t="n">
        <v>452203.100799376</v>
      </c>
      <c r="I50" t="n">
        <v>481284.585264419</v>
      </c>
      <c r="J50" t="n">
        <v>502476.915325949</v>
      </c>
      <c r="K50" t="n">
        <v>517792.591417174</v>
      </c>
      <c r="L50" t="n">
        <v>554297.648921232</v>
      </c>
      <c r="M50" t="n">
        <v>617184.663751726</v>
      </c>
      <c r="N50" t="n">
        <v>658505.450808041</v>
      </c>
      <c r="O50" t="n">
        <v>690629.677783751</v>
      </c>
      <c r="P50" t="n">
        <v>716388.613832064</v>
      </c>
      <c r="Q50" t="n">
        <v>714670.413734494</v>
      </c>
      <c r="R50" t="n">
        <v>698377.893347401</v>
      </c>
      <c r="S50" t="n">
        <v>731792.758482363</v>
      </c>
      <c r="T50" t="n">
        <v>807916.086665276</v>
      </c>
      <c r="U50" t="n">
        <v>807462.757251229</v>
      </c>
      <c r="V50" t="n">
        <v>774904.651596229</v>
      </c>
      <c r="W50" t="n">
        <v>765216.923251899</v>
      </c>
      <c r="X50" t="n">
        <v>763532.728056187</v>
      </c>
      <c r="Y50" t="n">
        <v>786110.603748802</v>
      </c>
      <c r="Z50" t="n">
        <v>972340.805279407</v>
      </c>
      <c r="AA50" t="n">
        <v>972889.620595143</v>
      </c>
      <c r="AB50" t="n">
        <v>1018012.12719861</v>
      </c>
      <c r="AC50" t="n">
        <v>1083248.18586696</v>
      </c>
      <c r="AD50" t="n">
        <v>1133233.27436056</v>
      </c>
      <c r="AE50" t="n">
        <v>1436967</v>
      </c>
      <c r="AF50" t="n">
        <v>1502938</v>
      </c>
    </row>
    <row r="51">
      <c r="A51" t="s">
        <v>38</v>
      </c>
      <c r="B51" t="s">
        <v>259</v>
      </c>
      <c r="C51" t="s">
        <v>129</v>
      </c>
      <c r="D51" t="s">
        <v>260</v>
      </c>
      <c r="E51" t="s">
        <v>130</v>
      </c>
      <c r="F51" t="n">
        <v>377531.73192514</v>
      </c>
      <c r="G51" t="n">
        <v>398431.415577996</v>
      </c>
      <c r="H51" t="n">
        <v>361738.507309709</v>
      </c>
      <c r="I51" t="n">
        <v>382179.658827321</v>
      </c>
      <c r="J51" t="n">
        <v>401602.506790886</v>
      </c>
      <c r="K51" t="n">
        <v>415678.522350362</v>
      </c>
      <c r="L51" t="n">
        <v>445721.426375397</v>
      </c>
      <c r="M51" t="n">
        <v>498044.461331948</v>
      </c>
      <c r="N51" t="n">
        <v>533019.570107915</v>
      </c>
      <c r="O51" t="n">
        <v>550639.093449828</v>
      </c>
      <c r="P51" t="n">
        <v>568580.714956844</v>
      </c>
      <c r="Q51" t="n">
        <v>562400.109913294</v>
      </c>
      <c r="R51" t="n">
        <v>536392.190096864</v>
      </c>
      <c r="S51" t="n">
        <v>565101.260860798</v>
      </c>
      <c r="T51" t="n">
        <v>630855.340177659</v>
      </c>
      <c r="U51" t="n">
        <v>631171.195009356</v>
      </c>
      <c r="V51" t="n">
        <v>602922.833368072</v>
      </c>
      <c r="W51" t="n">
        <v>601164.917432374</v>
      </c>
      <c r="X51" t="n">
        <v>586903.210663432</v>
      </c>
      <c r="Y51" t="n">
        <v>602016.323001364</v>
      </c>
      <c r="Z51" t="n">
        <v>767712.028214308</v>
      </c>
      <c r="AA51" t="n">
        <v>778863.668565586</v>
      </c>
      <c r="AB51" t="n">
        <v>804498.196655889</v>
      </c>
      <c r="AC51" t="n">
        <v>847370.097914784</v>
      </c>
      <c r="AD51" t="n">
        <v>864987.344958646</v>
      </c>
      <c r="AE51" t="n">
        <v>1181523</v>
      </c>
      <c r="AF51" t="n">
        <v>1234913</v>
      </c>
    </row>
    <row r="52">
      <c r="A52" t="s">
        <v>38</v>
      </c>
      <c r="B52" t="s">
        <v>261</v>
      </c>
      <c r="C52" t="s">
        <v>129</v>
      </c>
      <c r="D52" t="s">
        <v>262</v>
      </c>
      <c r="E52" t="s">
        <v>130</v>
      </c>
      <c r="F52" t="n">
        <v>84692.77800422</v>
      </c>
      <c r="G52" t="n">
        <v>89336.0504894097</v>
      </c>
      <c r="H52" t="n">
        <v>89259.5938990897</v>
      </c>
      <c r="I52" t="n">
        <v>98658.1353149962</v>
      </c>
      <c r="J52" t="n">
        <v>99658.2151551073</v>
      </c>
      <c r="K52" t="n">
        <v>100318.640702855</v>
      </c>
      <c r="L52" t="n">
        <v>106453.112511826</v>
      </c>
      <c r="M52" t="n">
        <v>116332.536493099</v>
      </c>
      <c r="N52" t="n">
        <v>122100.59707116</v>
      </c>
      <c r="O52" t="n">
        <v>137896.066792866</v>
      </c>
      <c r="P52" t="n">
        <v>145993.102908757</v>
      </c>
      <c r="Q52" t="n">
        <v>151110.528494335</v>
      </c>
      <c r="R52" t="n">
        <v>162504.778886006</v>
      </c>
      <c r="S52" t="n">
        <v>166918.990599456</v>
      </c>
      <c r="T52" t="n">
        <v>176710.461612313</v>
      </c>
      <c r="U52" t="n">
        <v>175883.439376955</v>
      </c>
      <c r="V52" t="n">
        <v>171773.547713887</v>
      </c>
      <c r="W52" t="n">
        <v>163589.921435503</v>
      </c>
      <c r="X52" t="n">
        <v>176429.406336927</v>
      </c>
      <c r="Y52" t="n">
        <v>183888.975550517</v>
      </c>
      <c r="Z52" t="n">
        <v>204150.709738849</v>
      </c>
      <c r="AA52" t="n">
        <v>193266.710033654</v>
      </c>
      <c r="AB52" t="n">
        <v>213159.652372162</v>
      </c>
      <c r="AC52" t="n">
        <v>235782.633185284</v>
      </c>
      <c r="AD52" t="n">
        <v>268385.830383281</v>
      </c>
      <c r="AE52" t="n">
        <v>255444</v>
      </c>
      <c r="AF52" t="n">
        <v>268025</v>
      </c>
    </row>
    <row r="53">
      <c r="A53" t="s">
        <v>38</v>
      </c>
      <c r="B53" t="s">
        <v>263</v>
      </c>
      <c r="C53" t="s">
        <v>129</v>
      </c>
      <c r="D53" t="s">
        <v>264</v>
      </c>
      <c r="E53" t="s">
        <v>130</v>
      </c>
      <c r="F53" t="n">
        <v>272828.098241311</v>
      </c>
      <c r="G53" t="n">
        <v>296384.720230886</v>
      </c>
      <c r="H53" t="n">
        <v>248608.634355374</v>
      </c>
      <c r="I53" t="n">
        <v>327753.034581882</v>
      </c>
      <c r="J53" t="n">
        <v>285400.755466419</v>
      </c>
      <c r="K53" t="n">
        <v>312891.586003827</v>
      </c>
      <c r="L53" t="n">
        <v>296271.056122234</v>
      </c>
      <c r="M53" t="n">
        <v>342405.8049731</v>
      </c>
      <c r="N53" t="n">
        <v>353104.560170372</v>
      </c>
      <c r="O53" t="n">
        <v>349542.612577554</v>
      </c>
      <c r="P53" t="n">
        <v>342708.373737016</v>
      </c>
      <c r="Q53" t="n">
        <v>337592.519635033</v>
      </c>
      <c r="R53" t="n">
        <v>324828.526571141</v>
      </c>
      <c r="S53" t="n">
        <v>355003.024957717</v>
      </c>
      <c r="T53" t="n">
        <v>359062.620293161</v>
      </c>
      <c r="U53" t="n">
        <v>356818.956969594</v>
      </c>
      <c r="V53" t="n">
        <v>358477.194972222</v>
      </c>
      <c r="W53" t="n">
        <v>341355.399359995</v>
      </c>
      <c r="X53" t="n">
        <v>358861.117015366</v>
      </c>
      <c r="Y53" t="n">
        <v>401528.464551276</v>
      </c>
      <c r="Z53" t="n">
        <v>452218.918826551</v>
      </c>
      <c r="AA53" t="n">
        <v>531443.983788155</v>
      </c>
      <c r="AB53" t="n">
        <v>660297.304227112</v>
      </c>
      <c r="AC53" t="n">
        <v>642577.312813335</v>
      </c>
      <c r="AD53" t="n">
        <v>651390.067574914</v>
      </c>
      <c r="AE53" t="n">
        <v>551725</v>
      </c>
      <c r="AF53" t="n">
        <v>635927</v>
      </c>
    </row>
    <row r="54">
      <c r="A54" t="s">
        <v>38</v>
      </c>
      <c r="B54" t="s">
        <v>265</v>
      </c>
      <c r="C54" t="s">
        <v>129</v>
      </c>
      <c r="D54" t="s">
        <v>266</v>
      </c>
      <c r="E54" t="s">
        <v>130</v>
      </c>
      <c r="F54" t="n">
        <v>526447.708865699</v>
      </c>
      <c r="G54" t="n">
        <v>543066.783539994</v>
      </c>
      <c r="H54" t="n">
        <v>506922.680353123</v>
      </c>
      <c r="I54" t="n">
        <v>614475.901640203</v>
      </c>
      <c r="J54" t="n">
        <v>574361.273801838</v>
      </c>
      <c r="K54" t="n">
        <v>575844.171116562</v>
      </c>
      <c r="L54" t="n">
        <v>586303.23209442</v>
      </c>
      <c r="M54" t="n">
        <v>657763.300082342</v>
      </c>
      <c r="N54" t="n">
        <v>660042.706543525</v>
      </c>
      <c r="O54" t="n">
        <v>684286.770410092</v>
      </c>
      <c r="P54" t="n">
        <v>714357.935681496</v>
      </c>
      <c r="Q54" t="n">
        <v>706105.004375392</v>
      </c>
      <c r="R54" t="n">
        <v>676334.021813599</v>
      </c>
      <c r="S54" t="n">
        <v>712343.66083913</v>
      </c>
      <c r="T54" t="n">
        <v>712039.045204818</v>
      </c>
      <c r="U54" t="n">
        <v>682609.629441499</v>
      </c>
      <c r="V54" t="n">
        <v>672860.045630061</v>
      </c>
      <c r="W54" t="n">
        <v>634794.056017957</v>
      </c>
      <c r="X54" t="n">
        <v>669272.333930476</v>
      </c>
      <c r="Y54" t="n">
        <v>750450.463552853</v>
      </c>
      <c r="Z54" t="n">
        <v>841099.275401289</v>
      </c>
      <c r="AA54" t="n">
        <v>907855.311172436</v>
      </c>
      <c r="AB54" t="n">
        <v>1040300.94846472</v>
      </c>
      <c r="AC54" t="n">
        <v>1054933.35712148</v>
      </c>
      <c r="AD54" t="n">
        <v>1080494.48053879</v>
      </c>
      <c r="AE54" t="n">
        <v>979671</v>
      </c>
      <c r="AF54" t="n">
        <v>1101592</v>
      </c>
    </row>
    <row r="55">
      <c r="A55" t="s">
        <v>38</v>
      </c>
      <c r="B55" t="s">
        <v>267</v>
      </c>
      <c r="C55" t="s">
        <v>129</v>
      </c>
      <c r="D55" t="s">
        <v>268</v>
      </c>
      <c r="E55" t="s">
        <v>130</v>
      </c>
      <c r="F55" t="n">
        <v>254541.983290202</v>
      </c>
      <c r="G55" t="n">
        <v>248070.514400638</v>
      </c>
      <c r="H55" t="n">
        <v>259096.488124854</v>
      </c>
      <c r="I55" t="n">
        <v>288116.827358693</v>
      </c>
      <c r="J55" t="n">
        <v>290182.363553802</v>
      </c>
      <c r="K55" t="n">
        <v>265032.18273859</v>
      </c>
      <c r="L55" t="n">
        <v>291612.65014343</v>
      </c>
      <c r="M55" t="n">
        <v>317187.371357933</v>
      </c>
      <c r="N55" t="n">
        <v>308710.545705943</v>
      </c>
      <c r="O55" t="n">
        <v>336692.853139529</v>
      </c>
      <c r="P55" t="n">
        <v>374026.221792896</v>
      </c>
      <c r="Q55" t="n">
        <v>370888.915318353</v>
      </c>
      <c r="R55" t="n">
        <v>353706.455610614</v>
      </c>
      <c r="S55" t="n">
        <v>358841.693823165</v>
      </c>
      <c r="T55" t="n">
        <v>354288.317328904</v>
      </c>
      <c r="U55" t="n">
        <v>326696.978341455</v>
      </c>
      <c r="V55" t="n">
        <v>315187.54958245</v>
      </c>
      <c r="W55" t="n">
        <v>294154.03463286</v>
      </c>
      <c r="X55" t="n">
        <v>311197.254932002</v>
      </c>
      <c r="Y55" t="n">
        <v>349833.21770167</v>
      </c>
      <c r="Z55" t="n">
        <v>389856.995674415</v>
      </c>
      <c r="AA55" t="n">
        <v>376511.934216068</v>
      </c>
      <c r="AB55" t="n">
        <v>379678.673431117</v>
      </c>
      <c r="AC55" t="n">
        <v>412265.738367343</v>
      </c>
      <c r="AD55" t="n">
        <v>429082.252349089</v>
      </c>
      <c r="AE55" t="n">
        <v>427946</v>
      </c>
      <c r="AF55" t="n">
        <v>465665</v>
      </c>
    </row>
    <row r="56">
      <c r="A56" t="s">
        <v>38</v>
      </c>
      <c r="B56" t="s">
        <v>269</v>
      </c>
      <c r="C56" t="s">
        <v>129</v>
      </c>
      <c r="D56" t="s">
        <v>270</v>
      </c>
      <c r="E56" t="s">
        <v>130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38</v>
      </c>
      <c r="B57" t="s">
        <v>271</v>
      </c>
      <c r="C57" t="s">
        <v>129</v>
      </c>
      <c r="D57" t="s">
        <v>272</v>
      </c>
      <c r="E57" t="s">
        <v>130</v>
      </c>
      <c r="F57" t="n">
        <v>17380111.0731465</v>
      </c>
      <c r="G57" t="n">
        <v>18025134.2802995</v>
      </c>
      <c r="H57" t="n">
        <v>19532302.4349747</v>
      </c>
      <c r="I57" t="n">
        <v>21444025.0301854</v>
      </c>
      <c r="J57" t="n">
        <v>22885106.5153571</v>
      </c>
      <c r="K57" t="n">
        <v>25311885.7097525</v>
      </c>
      <c r="L57" t="n">
        <v>28075574.7436799</v>
      </c>
      <c r="M57" t="n">
        <v>30793407.8015605</v>
      </c>
      <c r="N57" t="n">
        <v>32678177.6880211</v>
      </c>
      <c r="O57" t="n">
        <v>35104153.1144297</v>
      </c>
      <c r="P57" t="n">
        <v>37521474.8179103</v>
      </c>
      <c r="Q57" t="n">
        <v>39510151.5140321</v>
      </c>
      <c r="R57" t="n">
        <v>39541608.2318896</v>
      </c>
      <c r="S57" t="n">
        <v>41274839.1359537</v>
      </c>
      <c r="T57" t="n">
        <v>36906380.2534933</v>
      </c>
      <c r="U57" t="n">
        <v>38052991.481907</v>
      </c>
      <c r="V57" t="n">
        <v>38902633.4842162</v>
      </c>
      <c r="W57" t="n">
        <v>36947617.6226541</v>
      </c>
      <c r="X57" t="n">
        <v>38807260.5646422</v>
      </c>
      <c r="Y57" t="n">
        <v>41771317.2650678</v>
      </c>
      <c r="Z57" t="n">
        <v>44029620.9348963</v>
      </c>
      <c r="AA57" t="n">
        <v>45139820.1953905</v>
      </c>
      <c r="AB57" t="n">
        <v>47532769.6808704</v>
      </c>
      <c r="AC57" t="n">
        <v>50764813.7802517</v>
      </c>
      <c r="AD57" t="n">
        <v>54177152.614022</v>
      </c>
      <c r="AE57" t="n">
        <v>52923806</v>
      </c>
      <c r="AF57" t="n">
        <v>57387913</v>
      </c>
    </row>
    <row r="58">
      <c r="A58" t="s">
        <v>38</v>
      </c>
      <c r="B58" t="s">
        <v>273</v>
      </c>
      <c r="C58" t="s">
        <v>129</v>
      </c>
      <c r="D58" t="s">
        <v>274</v>
      </c>
      <c r="E58" t="s">
        <v>130</v>
      </c>
      <c r="F58" t="n">
        <v>17380111.0731465</v>
      </c>
      <c r="G58" t="n">
        <v>18025134.2802995</v>
      </c>
      <c r="H58" t="n">
        <v>19532302.4349747</v>
      </c>
      <c r="I58" t="n">
        <v>21444025.0301854</v>
      </c>
      <c r="J58" t="n">
        <v>22885106.5153571</v>
      </c>
      <c r="K58" t="n">
        <v>25311885.7097525</v>
      </c>
      <c r="L58" t="n">
        <v>28075574.7436799</v>
      </c>
      <c r="M58" t="n">
        <v>30793407.8015605</v>
      </c>
      <c r="N58" t="n">
        <v>32678177.6880211</v>
      </c>
      <c r="O58" t="n">
        <v>35104153.1144297</v>
      </c>
      <c r="P58" t="n">
        <v>37521474.8179103</v>
      </c>
      <c r="Q58" t="n">
        <v>39510151.5140321</v>
      </c>
      <c r="R58" t="n">
        <v>39541608.2318896</v>
      </c>
      <c r="S58" t="n">
        <v>41274839.1359537</v>
      </c>
      <c r="T58" t="n">
        <v>36906380.2534933</v>
      </c>
      <c r="U58" t="n">
        <v>38052991.481907</v>
      </c>
      <c r="V58" t="n">
        <v>38902633.4842162</v>
      </c>
      <c r="W58" t="n">
        <v>36947617.6226541</v>
      </c>
      <c r="X58" t="n">
        <v>38807260.5646422</v>
      </c>
      <c r="Y58" t="n">
        <v>41771317.2650678</v>
      </c>
      <c r="Z58" t="n">
        <v>44029620.9348963</v>
      </c>
      <c r="AA58" t="n">
        <v>45139820.1953905</v>
      </c>
      <c r="AB58" t="n">
        <v>47532769.6808704</v>
      </c>
      <c r="AC58" t="n">
        <v>50764813.7802517</v>
      </c>
      <c r="AD58" t="n">
        <v>54177152.614022</v>
      </c>
      <c r="AE58" t="n">
        <v>52923806</v>
      </c>
      <c r="AF58" t="n">
        <v>57387913</v>
      </c>
    </row>
    <row r="59">
      <c r="A59" t="s">
        <v>38</v>
      </c>
      <c r="B59" t="s">
        <v>275</v>
      </c>
      <c r="C59" t="s">
        <v>129</v>
      </c>
      <c r="D59" t="s">
        <v>276</v>
      </c>
      <c r="E59" t="s">
        <v>130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legend</dc:creator>
  <cp:lastModifiedBy>legend</cp:lastModifiedBy>
  <dcterms:created xsi:type="dcterms:W3CDTF">2025-01-07T18:46:43Z</dcterms:created>
</coreProperties>
</file>